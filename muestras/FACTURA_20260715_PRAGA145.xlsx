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definedNames>
    <definedName name="_xlnm._FilterDatabase" localSheetId="0" hidden="1">Sheet1!$A$2:$AA$2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<sst xmlns="http://schemas.openxmlformats.org/spreadsheetml/2006/main" count="1330" uniqueCount="356">
  <si>
    <r>
      <t xml:space="preserve">         FACTURA </t>
    </r>
    <r>
      <rPr>
        <b/>
        <sz val="24"/>
        <color rgb="FFFFFF00"/>
        <rFont val="Impact"/>
        <charset val="134"/>
      </rPr>
      <t>2026-07-15</t>
    </r>
    <r>
      <rPr>
        <b/>
        <sz val="24"/>
        <color theme="0"/>
        <rFont val="Impact"/>
        <charset val="134"/>
      </rPr>
      <t xml:space="preserve"> </t>
    </r>
    <r>
      <rPr>
        <b/>
        <sz val="24"/>
        <color rgb="FFFF0000"/>
        <rFont val="Impact"/>
        <charset val="134"/>
      </rPr>
      <t>PRAGA-145</t>
    </r>
  </si>
  <si>
    <t>NO. DE CAJA</t>
  </si>
  <si>
    <t>ITEM CAJA</t>
  </si>
  <si>
    <t>ITEM ARTICULO</t>
  </si>
  <si>
    <t>FOTO</t>
  </si>
  <si>
    <t>DESCRIPCION</t>
  </si>
  <si>
    <t>RECUBRIMIENTO (COMPOSICION)</t>
  </si>
  <si>
    <t>FORRO (COMPOSICION)</t>
  </si>
  <si>
    <t>CREMALLERAS (INTERNA - EXTERNA)</t>
  </si>
  <si>
    <t>TAMAÑO DE BOLSA</t>
  </si>
  <si>
    <t>MARCA</t>
  </si>
  <si>
    <t>CTNS</t>
  </si>
  <si>
    <t>QTY/CTN</t>
  </si>
  <si>
    <t>UNIDAD</t>
  </si>
  <si>
    <t>EMPAQUE</t>
  </si>
  <si>
    <t>CANTIDAD TOTAL</t>
  </si>
  <si>
    <t>PRECIO</t>
  </si>
  <si>
    <t>PRECIO TOTAL</t>
  </si>
  <si>
    <t>TAMAÑO CAJA</t>
  </si>
  <si>
    <t>CBM</t>
  </si>
  <si>
    <t>TOTAL CBM</t>
  </si>
  <si>
    <t>PESO</t>
  </si>
  <si>
    <t>TOTAL PESO</t>
  </si>
  <si>
    <t>箱号</t>
  </si>
  <si>
    <t>纸箱上货号</t>
  </si>
  <si>
    <t>产品上货号</t>
  </si>
  <si>
    <t>图片</t>
  </si>
  <si>
    <t>品名</t>
  </si>
  <si>
    <t>材质</t>
  </si>
  <si>
    <t>里布材质</t>
  </si>
  <si>
    <t>外拉链</t>
  </si>
  <si>
    <t>内拉链</t>
  </si>
  <si>
    <t>长</t>
  </si>
  <si>
    <t>宽</t>
  </si>
  <si>
    <t>高</t>
  </si>
  <si>
    <t>品牌</t>
  </si>
  <si>
    <t>件数</t>
  </si>
  <si>
    <t>装箱量</t>
  </si>
  <si>
    <t>单位</t>
  </si>
  <si>
    <t>包装方式</t>
  </si>
  <si>
    <t>总数量</t>
  </si>
  <si>
    <t>价格</t>
  </si>
  <si>
    <t>总金额</t>
  </si>
  <si>
    <t>单件体积</t>
  </si>
  <si>
    <t>总体积</t>
  </si>
  <si>
    <t>单件重量</t>
  </si>
  <si>
    <t>总重量</t>
  </si>
  <si>
    <t>1-2</t>
  </si>
  <si>
    <t>322-115</t>
  </si>
  <si>
    <t>BOLSO</t>
  </si>
  <si>
    <t>100%POLIESTER</t>
  </si>
  <si>
    <t>IMPRAGA</t>
  </si>
  <si>
    <t>PC</t>
  </si>
  <si>
    <t>1PC/OPP</t>
  </si>
  <si>
    <t>3-5</t>
  </si>
  <si>
    <t>322-116</t>
  </si>
  <si>
    <t>6-8</t>
  </si>
  <si>
    <t>322-117</t>
  </si>
  <si>
    <t>23-26</t>
  </si>
  <si>
    <t>322-8</t>
  </si>
  <si>
    <t>COSMETIQUERA</t>
  </si>
  <si>
    <t>100%PLASTICO</t>
  </si>
  <si>
    <t>SIN FORRO</t>
  </si>
  <si>
    <t>1PC/OPP 12PCS/BAG</t>
  </si>
  <si>
    <t>27-28</t>
  </si>
  <si>
    <t>322-9</t>
  </si>
  <si>
    <t>29-31</t>
  </si>
  <si>
    <t>322-10</t>
  </si>
  <si>
    <t>32-35</t>
  </si>
  <si>
    <t>322-11</t>
  </si>
  <si>
    <t>100%PU</t>
  </si>
  <si>
    <t>36-37</t>
  </si>
  <si>
    <t>322-12</t>
  </si>
  <si>
    <t>MONEDERO</t>
  </si>
  <si>
    <t>38-39</t>
  </si>
  <si>
    <t>322-13</t>
  </si>
  <si>
    <t>40-41</t>
  </si>
  <si>
    <t>322-14</t>
  </si>
  <si>
    <t>42-43</t>
  </si>
  <si>
    <t>322-15</t>
  </si>
  <si>
    <t>44-48</t>
  </si>
  <si>
    <t>322-112</t>
  </si>
  <si>
    <t>50%PU 50%POLIESTER</t>
  </si>
  <si>
    <t>49-53</t>
  </si>
  <si>
    <t>322-113</t>
  </si>
  <si>
    <t>54-58</t>
  </si>
  <si>
    <t>322-114</t>
  </si>
  <si>
    <t>59-61</t>
  </si>
  <si>
    <t>292-27</t>
  </si>
  <si>
    <t>BILLETERA</t>
  </si>
  <si>
    <t>62-64</t>
  </si>
  <si>
    <t>292-28</t>
  </si>
  <si>
    <t>65-67</t>
  </si>
  <si>
    <t>292-29</t>
  </si>
  <si>
    <t>68-70</t>
  </si>
  <si>
    <t>292-30</t>
  </si>
  <si>
    <t>71-72</t>
  </si>
  <si>
    <t>322-60</t>
  </si>
  <si>
    <t>73-74</t>
  </si>
  <si>
    <t>322-61</t>
  </si>
  <si>
    <t>75-76</t>
  </si>
  <si>
    <t>322-62</t>
  </si>
  <si>
    <t>77-78</t>
  </si>
  <si>
    <t>322-63</t>
  </si>
  <si>
    <t>79-80</t>
  </si>
  <si>
    <t>322-64</t>
  </si>
  <si>
    <t>80%PU 20%POLIESTER</t>
  </si>
  <si>
    <t>81-82</t>
  </si>
  <si>
    <t>322-65</t>
  </si>
  <si>
    <t>83-84</t>
  </si>
  <si>
    <t>322-66</t>
  </si>
  <si>
    <t>85-86</t>
  </si>
  <si>
    <t>322-67</t>
  </si>
  <si>
    <t>87-88</t>
  </si>
  <si>
    <t>322-68</t>
  </si>
  <si>
    <t>89-90</t>
  </si>
  <si>
    <t>322-69</t>
  </si>
  <si>
    <t>91-92</t>
  </si>
  <si>
    <t>322-70</t>
  </si>
  <si>
    <t>93-94</t>
  </si>
  <si>
    <t>322-71</t>
  </si>
  <si>
    <t>95-97</t>
  </si>
  <si>
    <t>322-72</t>
  </si>
  <si>
    <t>98-99</t>
  </si>
  <si>
    <t>322-73</t>
  </si>
  <si>
    <t>100-102</t>
  </si>
  <si>
    <t>322-74</t>
  </si>
  <si>
    <t>103-104</t>
  </si>
  <si>
    <t>322-75</t>
  </si>
  <si>
    <t>105-106</t>
  </si>
  <si>
    <t>322-76</t>
  </si>
  <si>
    <t>107-108</t>
  </si>
  <si>
    <t>322-77</t>
  </si>
  <si>
    <t>109-110</t>
  </si>
  <si>
    <t>322-78</t>
  </si>
  <si>
    <t>111-112</t>
  </si>
  <si>
    <t>322-79</t>
  </si>
  <si>
    <t>113-114</t>
  </si>
  <si>
    <t>322-80</t>
  </si>
  <si>
    <t>115-118</t>
  </si>
  <si>
    <t>322-81</t>
  </si>
  <si>
    <t>119-122</t>
  </si>
  <si>
    <t>322-82</t>
  </si>
  <si>
    <t>123-126</t>
  </si>
  <si>
    <t>322-83</t>
  </si>
  <si>
    <t>127-130</t>
  </si>
  <si>
    <t>322-84</t>
  </si>
  <si>
    <t>131-140</t>
  </si>
  <si>
    <t>322-16</t>
  </si>
  <si>
    <t>CORREA</t>
  </si>
  <si>
    <t>141-150</t>
  </si>
  <si>
    <t>322-17</t>
  </si>
  <si>
    <t>151-160</t>
  </si>
  <si>
    <t>322-18</t>
  </si>
  <si>
    <t>161-164</t>
  </si>
  <si>
    <t>322-19</t>
  </si>
  <si>
    <t>165-168</t>
  </si>
  <si>
    <t>322-20</t>
  </si>
  <si>
    <t>169-172</t>
  </si>
  <si>
    <t>322-21</t>
  </si>
  <si>
    <t>173-176</t>
  </si>
  <si>
    <t>322-22</t>
  </si>
  <si>
    <t>177-181</t>
  </si>
  <si>
    <t>322-23</t>
  </si>
  <si>
    <t>182-186</t>
  </si>
  <si>
    <t>322-24</t>
  </si>
  <si>
    <t>187-191</t>
  </si>
  <si>
    <t>322-25</t>
  </si>
  <si>
    <t>192-196</t>
  </si>
  <si>
    <t>322-26</t>
  </si>
  <si>
    <t>197-200</t>
  </si>
  <si>
    <t>322-27</t>
  </si>
  <si>
    <t>201-204</t>
  </si>
  <si>
    <t>322-28</t>
  </si>
  <si>
    <t>205-208</t>
  </si>
  <si>
    <t>322-29</t>
  </si>
  <si>
    <t>209-212</t>
  </si>
  <si>
    <t>322-30</t>
  </si>
  <si>
    <t>213-216</t>
  </si>
  <si>
    <t>322-31</t>
  </si>
  <si>
    <t>217-218</t>
  </si>
  <si>
    <t>322-32</t>
  </si>
  <si>
    <t>219-220</t>
  </si>
  <si>
    <t>322-33</t>
  </si>
  <si>
    <t>221-224</t>
  </si>
  <si>
    <t>322-34</t>
  </si>
  <si>
    <t>225-228</t>
  </si>
  <si>
    <t>322-35</t>
  </si>
  <si>
    <t>229-232</t>
  </si>
  <si>
    <t>322-36</t>
  </si>
  <si>
    <t>233-236</t>
  </si>
  <si>
    <t>322-37</t>
  </si>
  <si>
    <t>237-240</t>
  </si>
  <si>
    <t>322-38</t>
  </si>
  <si>
    <t>241-244</t>
  </si>
  <si>
    <t>322-39</t>
  </si>
  <si>
    <t>245-248</t>
  </si>
  <si>
    <t>322-40</t>
  </si>
  <si>
    <t>249-252</t>
  </si>
  <si>
    <t>322-41</t>
  </si>
  <si>
    <t>253-256</t>
  </si>
  <si>
    <t>322-42</t>
  </si>
  <si>
    <t>257-260</t>
  </si>
  <si>
    <t>308-12</t>
  </si>
  <si>
    <t>261-264</t>
  </si>
  <si>
    <t>322-44</t>
  </si>
  <si>
    <t>265-269</t>
  </si>
  <si>
    <t>202-37</t>
  </si>
  <si>
    <t xml:space="preserve">1PC/OPP </t>
  </si>
  <si>
    <t>447-451</t>
  </si>
  <si>
    <t>202-41</t>
  </si>
  <si>
    <t>388-392</t>
  </si>
  <si>
    <t>202-43</t>
  </si>
  <si>
    <t>452-456</t>
  </si>
  <si>
    <t>202-44</t>
  </si>
  <si>
    <t>270-271</t>
  </si>
  <si>
    <t>202-47</t>
  </si>
  <si>
    <t>272-276</t>
  </si>
  <si>
    <t>202-50</t>
  </si>
  <si>
    <t>277-281</t>
  </si>
  <si>
    <t>202-51</t>
  </si>
  <si>
    <t>282-284</t>
  </si>
  <si>
    <t>202-55</t>
  </si>
  <si>
    <t>285-287</t>
  </si>
  <si>
    <t>202-56</t>
  </si>
  <si>
    <t>288-290</t>
  </si>
  <si>
    <t>217-11</t>
  </si>
  <si>
    <t>291-293</t>
  </si>
  <si>
    <t>217-12</t>
  </si>
  <si>
    <t>393-395</t>
  </si>
  <si>
    <t>217-15</t>
  </si>
  <si>
    <t>294-296</t>
  </si>
  <si>
    <t>217-16</t>
  </si>
  <si>
    <t>297-299</t>
  </si>
  <si>
    <t>217-17</t>
  </si>
  <si>
    <t>396-400</t>
  </si>
  <si>
    <t>218-32</t>
  </si>
  <si>
    <t>401-405</t>
  </si>
  <si>
    <t>218-33</t>
  </si>
  <si>
    <t>300-304</t>
  </si>
  <si>
    <t>232-30</t>
  </si>
  <si>
    <t>305-309</t>
  </si>
  <si>
    <t>250-2</t>
  </si>
  <si>
    <t>310-312</t>
  </si>
  <si>
    <t>252-5-5</t>
  </si>
  <si>
    <t>313-317</t>
  </si>
  <si>
    <t>252-8</t>
  </si>
  <si>
    <t>318-322</t>
  </si>
  <si>
    <t>252-9</t>
  </si>
  <si>
    <t>323-324</t>
  </si>
  <si>
    <t>252-10</t>
  </si>
  <si>
    <t>406-410</t>
  </si>
  <si>
    <t>322-85</t>
  </si>
  <si>
    <t>411-415</t>
  </si>
  <si>
    <t>322-86</t>
  </si>
  <si>
    <t>325-329</t>
  </si>
  <si>
    <t>322-87</t>
  </si>
  <si>
    <t>416-420</t>
  </si>
  <si>
    <t>322-88</t>
  </si>
  <si>
    <t>20%POLIESTER 80%PU</t>
  </si>
  <si>
    <t>421-425</t>
  </si>
  <si>
    <t>322-89</t>
  </si>
  <si>
    <t>426-430</t>
  </si>
  <si>
    <t>322-90</t>
  </si>
  <si>
    <t>431-432</t>
  </si>
  <si>
    <t>322-91</t>
  </si>
  <si>
    <t>433-434</t>
  </si>
  <si>
    <t>322-92</t>
  </si>
  <si>
    <t>330-334</t>
  </si>
  <si>
    <t>322-93</t>
  </si>
  <si>
    <t>435-439</t>
  </si>
  <si>
    <t>322-94</t>
  </si>
  <si>
    <t>440-441</t>
  </si>
  <si>
    <t>322-95</t>
  </si>
  <si>
    <t>335-338</t>
  </si>
  <si>
    <t>322-96</t>
  </si>
  <si>
    <t>339-342</t>
  </si>
  <si>
    <t>322-97</t>
  </si>
  <si>
    <t>343-346</t>
  </si>
  <si>
    <t>322-98</t>
  </si>
  <si>
    <t>347-349</t>
  </si>
  <si>
    <t>322-99</t>
  </si>
  <si>
    <t>353-355</t>
  </si>
  <si>
    <t>322-101</t>
  </si>
  <si>
    <t>356-359</t>
  </si>
  <si>
    <t>322-102</t>
  </si>
  <si>
    <t>360-363</t>
  </si>
  <si>
    <t>322-103</t>
  </si>
  <si>
    <t>364-368</t>
  </si>
  <si>
    <t>322-104</t>
  </si>
  <si>
    <t xml:space="preserve">BOLSO </t>
  </si>
  <si>
    <t>369-370</t>
  </si>
  <si>
    <t>322-105</t>
  </si>
  <si>
    <t>371-373</t>
  </si>
  <si>
    <t>322-106</t>
  </si>
  <si>
    <t>374-377</t>
  </si>
  <si>
    <t>322-107</t>
  </si>
  <si>
    <t>378-379</t>
  </si>
  <si>
    <t>322-108</t>
  </si>
  <si>
    <t>380-383</t>
  </si>
  <si>
    <t>322-109</t>
  </si>
  <si>
    <t>384-387</t>
  </si>
  <si>
    <t>322-110</t>
  </si>
  <si>
    <t>442-446</t>
  </si>
  <si>
    <t>322-111</t>
  </si>
  <si>
    <t>457-459</t>
  </si>
  <si>
    <t>322-123</t>
  </si>
  <si>
    <t>460-462</t>
  </si>
  <si>
    <t>322-124</t>
  </si>
  <si>
    <t>463-465</t>
  </si>
  <si>
    <t>322-125</t>
  </si>
  <si>
    <t>466-468</t>
  </si>
  <si>
    <t>322-126</t>
  </si>
  <si>
    <t>469-473</t>
  </si>
  <si>
    <t>322-2</t>
  </si>
  <si>
    <t>474-478</t>
  </si>
  <si>
    <t>322-3</t>
  </si>
  <si>
    <t>479-483</t>
  </si>
  <si>
    <t>322-4</t>
  </si>
  <si>
    <t>484-488</t>
  </si>
  <si>
    <t>322-5</t>
  </si>
  <si>
    <t>489-493</t>
  </si>
  <si>
    <t>322-6</t>
  </si>
  <si>
    <t>494-498</t>
  </si>
  <si>
    <t>322-7</t>
  </si>
  <si>
    <t>499-503</t>
  </si>
  <si>
    <t>322-127</t>
  </si>
  <si>
    <t>504-508</t>
  </si>
  <si>
    <t>322-128</t>
  </si>
  <si>
    <t>509-513</t>
  </si>
  <si>
    <t>322-129</t>
  </si>
  <si>
    <t>514-518</t>
  </si>
  <si>
    <t>322-130</t>
  </si>
  <si>
    <t>519-523</t>
  </si>
  <si>
    <t>322-131</t>
  </si>
  <si>
    <t>524-528</t>
  </si>
  <si>
    <t>322-132</t>
  </si>
  <si>
    <t>529-533</t>
  </si>
  <si>
    <t>322-133</t>
  </si>
  <si>
    <t>534-538</t>
  </si>
  <si>
    <t>322-134</t>
  </si>
  <si>
    <t>5339-543</t>
  </si>
  <si>
    <t>322-135</t>
  </si>
  <si>
    <t>544-548</t>
  </si>
  <si>
    <t>322-136</t>
  </si>
  <si>
    <t>549-553</t>
  </si>
  <si>
    <t>322-137</t>
  </si>
  <si>
    <r>
      <rPr>
        <sz val="12"/>
        <color indexed="8"/>
        <rFont val="宋体"/>
        <charset val="134"/>
      </rPr>
      <t>样品</t>
    </r>
    <r>
      <rPr>
        <sz val="12"/>
        <color indexed="8"/>
        <rFont val="Arial Narrow"/>
        <charset val="134"/>
      </rPr>
      <t>A</t>
    </r>
  </si>
  <si>
    <t>MUESTRA A</t>
  </si>
  <si>
    <r>
      <rPr>
        <sz val="12"/>
        <color indexed="8"/>
        <rFont val="宋体"/>
        <charset val="134"/>
      </rPr>
      <t>样品</t>
    </r>
    <r>
      <rPr>
        <sz val="12"/>
        <color indexed="8"/>
        <rFont val="Arial Narrow"/>
        <charset val="134"/>
      </rPr>
      <t>B</t>
    </r>
  </si>
  <si>
    <t>MUESTRA B</t>
  </si>
  <si>
    <t>GASTOS</t>
  </si>
  <si>
    <t>OCEAN FEE</t>
  </si>
  <si>
    <t>OTHERS</t>
  </si>
  <si>
    <t>COMMISSION</t>
  </si>
  <si>
    <t xml:space="preserve"> T.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</si>
</sst>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 &quot;￥&quot;* #,##0.00_ ;_ &quot;￥&quot;* \-#,##0.00_ ;_ &quot;￥&quot;* &quot;-&quot;??_ ;_ @_ "/>
    <numFmt numFmtId="178" formatCode="_ * #,##0_ ;_ * \-#,##0_ ;_ * &quot;-&quot;_ ;_ @_ "/>
    <numFmt numFmtId="179" formatCode="_ &quot;￥&quot;* #,##0_ ;_ &quot;￥&quot;* \-#,##0_ ;_ &quot;￥&quot;* &quot;-&quot;_ ;_ @_ "/>
    <numFmt numFmtId="180" formatCode="&quot;￥&quot;#,##0.00_);[Red]\(&quot;￥&quot;#,##0.00\)"/>
    <numFmt numFmtId="181" formatCode="[$￥-804]#,##0.00;[$￥-804]\-#,##0.00"/>
    <numFmt numFmtId="182" formatCode="0.00_ "/>
    <numFmt numFmtId="183" formatCode="0_);\(0\)"/>
    <numFmt numFmtId="184" formatCode="_ [$￥-804]* #,##0.00_ ;_ [$￥-804]* \-#,##0.00_ ;_ [$￥-804]* &quot;-&quot;??_ ;_ @_ "/>
    <numFmt numFmtId="185" formatCode="0.00_);[Red]\(0.00\)"/>
  </numFmts>
  <fonts count="36">
    <font>
      <sz val="11"/>
      <color theme="1"/>
      <name val="宋体"/>
      <charset val="134"/>
      <scheme val="minor"/>
    </font>
    <font>
      <sz val="12"/>
      <color theme="1"/>
      <name val="Arial Narrow"/>
      <charset val="134"/>
    </font>
    <font>
      <b/>
      <sz val="24"/>
      <color theme="0"/>
      <name val="Impact"/>
      <charset val="134"/>
    </font>
    <font>
      <b/>
      <sz val="12"/>
      <color indexed="9"/>
      <name val="Arial Narrow"/>
      <charset val="134"/>
    </font>
    <font>
      <b/>
      <sz val="12"/>
      <color rgb="FFFFFFFF"/>
      <name val="Arial Narrow"/>
      <charset val="134"/>
    </font>
    <font>
      <b/>
      <sz val="10"/>
      <color theme="0"/>
      <name val="等线"/>
      <charset val="134"/>
    </font>
    <font>
      <sz val="12"/>
      <color indexed="8"/>
      <name val="Arial Narrow"/>
      <charset val="134"/>
    </font>
    <font>
      <sz val="12"/>
      <name val="Arial Narrow"/>
      <charset val="134"/>
    </font>
    <font>
      <b/>
      <sz val="12"/>
      <color indexed="8"/>
      <name val="Arial Narrow"/>
      <charset val="134"/>
    </font>
    <font>
      <b/>
      <sz val="12"/>
      <name val="Arial Narrow"/>
      <charset val="134"/>
    </font>
    <font>
      <b/>
      <sz val="14"/>
      <color indexed="8"/>
      <name val="Arial"/>
      <charset val="134"/>
    </font>
    <font>
      <b/>
      <sz val="10"/>
      <color indexed="8"/>
      <name val="Arial"/>
      <charset val="134"/>
    </font>
    <font>
      <sz val="12"/>
      <color indexed="8"/>
      <name val="Arial"/>
      <charset val="134"/>
    </font>
    <font>
      <sz val="14"/>
      <color indexed="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indexed="8"/>
      <name val="宋体"/>
      <charset val="134"/>
    </font>
    <font>
      <b/>
      <sz val="24"/>
      <color rgb="FFFFFF00"/>
      <name val="Impact"/>
      <charset val="134"/>
    </font>
    <font>
      <b/>
      <sz val="24"/>
      <color rgb="FFFF0000"/>
      <name val="Impact"/>
      <charset val="134"/>
    </font>
  </fonts>
  <fills count="6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EE76F8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191FA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6" tint="0.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1A0FB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2EAF9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E4D3F4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32" borderId="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20" fillId="0" borderId="5" applyNumberFormat="0" applyFill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3" borderId="7" applyNumberFormat="0" applyAlignment="0" applyProtection="0">
      <alignment vertical="center"/>
    </xf>
    <xf numFmtId="0" fontId="23" fillId="34" borderId="8" applyNumberFormat="0" applyAlignment="0" applyProtection="0">
      <alignment vertical="center"/>
    </xf>
    <xf numFmtId="0" fontId="24" fillId="34" borderId="7" applyNumberFormat="0" applyAlignment="0" applyProtection="0">
      <alignment vertical="center"/>
    </xf>
    <xf numFmtId="0" fontId="25" fillId="35" borderId="9" applyNumberFormat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7" fillId="0" borderId="11" applyNumberFormat="0" applyFill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2" fillId="41" borderId="0" applyNumberFormat="0" applyBorder="0" applyAlignment="0" applyProtection="0">
      <alignment vertical="center"/>
    </xf>
    <xf numFmtId="0" fontId="31" fillId="42" borderId="0" applyNumberFormat="0" applyBorder="0" applyAlignment="0" applyProtection="0">
      <alignment vertical="center"/>
    </xf>
    <xf numFmtId="0" fontId="31" fillId="43" borderId="0" applyNumberFormat="0" applyBorder="0" applyAlignment="0" applyProtection="0">
      <alignment vertical="center"/>
    </xf>
    <xf numFmtId="0" fontId="32" fillId="44" borderId="0" applyNumberFormat="0" applyBorder="0" applyAlignment="0" applyProtection="0">
      <alignment vertical="center"/>
    </xf>
    <xf numFmtId="0" fontId="32" fillId="45" borderId="0" applyNumberFormat="0" applyBorder="0" applyAlignment="0" applyProtection="0">
      <alignment vertical="center"/>
    </xf>
    <xf numFmtId="0" fontId="31" fillId="46" borderId="0" applyNumberFormat="0" applyBorder="0" applyAlignment="0" applyProtection="0">
      <alignment vertical="center"/>
    </xf>
    <xf numFmtId="0" fontId="31" fillId="47" borderId="0" applyNumberFormat="0" applyBorder="0" applyAlignment="0" applyProtection="0">
      <alignment vertical="center"/>
    </xf>
    <xf numFmtId="0" fontId="32" fillId="48" borderId="0" applyNumberFormat="0" applyBorder="0" applyAlignment="0" applyProtection="0">
      <alignment vertical="center"/>
    </xf>
    <xf numFmtId="0" fontId="32" fillId="49" borderId="0" applyNumberFormat="0" applyBorder="0" applyAlignment="0" applyProtection="0">
      <alignment vertical="center"/>
    </xf>
    <xf numFmtId="0" fontId="31" fillId="50" borderId="0" applyNumberFormat="0" applyBorder="0" applyAlignment="0" applyProtection="0">
      <alignment vertical="center"/>
    </xf>
    <xf numFmtId="0" fontId="31" fillId="51" borderId="0" applyNumberFormat="0" applyBorder="0" applyAlignment="0" applyProtection="0">
      <alignment vertical="center"/>
    </xf>
    <xf numFmtId="0" fontId="32" fillId="52" borderId="0" applyNumberFormat="0" applyBorder="0" applyAlignment="0" applyProtection="0">
      <alignment vertical="center"/>
    </xf>
    <xf numFmtId="0" fontId="32" fillId="53" borderId="0" applyNumberFormat="0" applyBorder="0" applyAlignment="0" applyProtection="0">
      <alignment vertical="center"/>
    </xf>
    <xf numFmtId="0" fontId="31" fillId="54" borderId="0" applyNumberFormat="0" applyBorder="0" applyAlignment="0" applyProtection="0">
      <alignment vertical="center"/>
    </xf>
    <xf numFmtId="0" fontId="31" fillId="55" borderId="0" applyNumberFormat="0" applyBorder="0" applyAlignment="0" applyProtection="0">
      <alignment vertical="center"/>
    </xf>
    <xf numFmtId="0" fontId="32" fillId="56" borderId="0" applyNumberFormat="0" applyBorder="0" applyAlignment="0" applyProtection="0">
      <alignment vertical="center"/>
    </xf>
    <xf numFmtId="0" fontId="32" fillId="57" borderId="0" applyNumberFormat="0" applyBorder="0" applyAlignment="0" applyProtection="0">
      <alignment vertical="center"/>
    </xf>
    <xf numFmtId="0" fontId="31" fillId="58" borderId="0" applyNumberFormat="0" applyBorder="0" applyAlignment="0" applyProtection="0">
      <alignment vertical="center"/>
    </xf>
    <xf numFmtId="0" fontId="31" fillId="59" borderId="0" applyNumberFormat="0" applyBorder="0" applyAlignment="0" applyProtection="0">
      <alignment vertical="center"/>
    </xf>
    <xf numFmtId="0" fontId="32" fillId="60" borderId="0" applyNumberFormat="0" applyBorder="0" applyAlignment="0" applyProtection="0">
      <alignment vertical="center"/>
    </xf>
    <xf numFmtId="0" fontId="32" fillId="61" borderId="0" applyNumberFormat="0" applyBorder="0" applyAlignment="0" applyProtection="0">
      <alignment vertical="center"/>
    </xf>
    <xf numFmtId="0" fontId="31" fillId="62" borderId="0" applyNumberFormat="0" applyBorder="0" applyAlignment="0" applyProtection="0">
      <alignment vertical="center"/>
    </xf>
  </cellStyleXfs>
  <cellXfs count="70">
    <xf numFmtId="0" fontId="0" fillId="0" borderId="0" xfId="0">
      <alignment vertical="center"/>
    </xf>
    <xf numFmtId="0" fontId="0" fillId="0" borderId="0" xfId="0" applyFont="1">
      <alignment vertical="center"/>
    </xf>
    <xf numFmtId="0" fontId="0" fillId="2" borderId="0" xfId="0" applyFill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180" fontId="3" fillId="7" borderId="2" xfId="0" applyNumberFormat="1" applyFont="1" applyFill="1" applyBorder="1" applyAlignment="1">
      <alignment horizontal="center" vertical="center" wrapText="1"/>
    </xf>
    <xf numFmtId="181" fontId="3" fillId="8" borderId="2" xfId="0" applyNumberFormat="1" applyFont="1" applyFill="1" applyBorder="1" applyAlignment="1">
      <alignment horizontal="center" vertical="center" wrapText="1"/>
    </xf>
    <xf numFmtId="182" fontId="3" fillId="4" borderId="2" xfId="0" applyNumberFormat="1" applyFont="1" applyFill="1" applyBorder="1" applyAlignment="1">
      <alignment horizontal="center" vertical="center" wrapText="1"/>
    </xf>
    <xf numFmtId="49" fontId="5" fillId="9" borderId="3" xfId="0" applyNumberFormat="1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 wrapText="1"/>
    </xf>
    <xf numFmtId="0" fontId="5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 wrapText="1"/>
    </xf>
    <xf numFmtId="180" fontId="5" fillId="12" borderId="3" xfId="0" applyNumberFormat="1" applyFont="1" applyFill="1" applyBorder="1" applyAlignment="1">
      <alignment horizontal="center" vertical="center" wrapText="1"/>
    </xf>
    <xf numFmtId="181" fontId="5" fillId="13" borderId="3" xfId="0" applyNumberFormat="1" applyFont="1" applyFill="1" applyBorder="1" applyAlignment="1">
      <alignment horizontal="center" vertical="center" wrapText="1"/>
    </xf>
    <xf numFmtId="182" fontId="5" fillId="9" borderId="3" xfId="0" applyNumberFormat="1" applyFont="1" applyFill="1" applyBorder="1" applyAlignment="1">
      <alignment horizontal="center" vertical="center" wrapText="1"/>
    </xf>
    <xf numFmtId="49" fontId="6" fillId="14" borderId="3" xfId="0" applyNumberFormat="1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 wrapText="1"/>
    </xf>
    <xf numFmtId="0" fontId="6" fillId="14" borderId="3" xfId="0" applyFont="1" applyFill="1" applyBorder="1" applyAlignment="1">
      <alignment horizontal="center" vertical="center" wrapText="1"/>
    </xf>
    <xf numFmtId="0" fontId="1" fillId="16" borderId="3" xfId="0" applyFont="1" applyFill="1" applyBorder="1" applyAlignment="1">
      <alignment horizontal="center" vertical="center" wrapText="1"/>
    </xf>
    <xf numFmtId="0" fontId="6" fillId="17" borderId="3" xfId="0" applyFont="1" applyFill="1" applyBorder="1" applyAlignment="1">
      <alignment horizontal="center" vertical="center" wrapText="1"/>
    </xf>
    <xf numFmtId="0" fontId="6" fillId="18" borderId="3" xfId="0" applyFont="1" applyFill="1" applyBorder="1" applyAlignment="1">
      <alignment horizontal="center" vertical="center" wrapText="1"/>
    </xf>
    <xf numFmtId="0" fontId="6" fillId="19" borderId="3" xfId="0" applyFont="1" applyFill="1" applyBorder="1" applyAlignment="1">
      <alignment horizontal="center" vertical="center" wrapText="1"/>
    </xf>
    <xf numFmtId="0" fontId="6" fillId="20" borderId="3" xfId="0" applyFont="1" applyFill="1" applyBorder="1" applyAlignment="1">
      <alignment horizontal="center" vertical="center" wrapText="1"/>
    </xf>
    <xf numFmtId="183" fontId="6" fillId="14" borderId="3" xfId="0" applyNumberFormat="1" applyFont="1" applyFill="1" applyBorder="1" applyAlignment="1">
      <alignment horizontal="center" vertical="center" wrapText="1"/>
    </xf>
    <xf numFmtId="180" fontId="6" fillId="21" borderId="3" xfId="0" applyNumberFormat="1" applyFont="1" applyFill="1" applyBorder="1" applyAlignment="1">
      <alignment horizontal="center" vertical="center" wrapText="1"/>
    </xf>
    <xf numFmtId="181" fontId="7" fillId="22" borderId="3" xfId="0" applyNumberFormat="1" applyFont="1" applyFill="1" applyBorder="1" applyAlignment="1">
      <alignment horizontal="center" vertical="center" wrapText="1"/>
    </xf>
    <xf numFmtId="182" fontId="6" fillId="14" borderId="3" xfId="0" applyNumberFormat="1" applyFont="1" applyFill="1" applyBorder="1" applyAlignment="1">
      <alignment horizontal="center" vertical="center" wrapText="1"/>
    </xf>
    <xf numFmtId="182" fontId="6" fillId="23" borderId="3" xfId="0" applyNumberFormat="1" applyFont="1" applyFill="1" applyBorder="1" applyAlignment="1">
      <alignment horizontal="center" vertical="center" wrapText="1"/>
    </xf>
    <xf numFmtId="0" fontId="6" fillId="24" borderId="3" xfId="0" applyFont="1" applyFill="1" applyBorder="1" applyAlignment="1">
      <alignment horizontal="center" vertical="center" wrapText="1"/>
    </xf>
    <xf numFmtId="49" fontId="6" fillId="2" borderId="3" xfId="0" applyNumberFormat="1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183" fontId="6" fillId="2" borderId="3" xfId="0" applyNumberFormat="1" applyFont="1" applyFill="1" applyBorder="1" applyAlignment="1">
      <alignment horizontal="center" vertical="center" wrapText="1"/>
    </xf>
    <xf numFmtId="182" fontId="6" fillId="2" borderId="3" xfId="0" applyNumberFormat="1" applyFont="1" applyFill="1" applyBorder="1" applyAlignment="1">
      <alignment horizontal="center" vertical="center" wrapText="1"/>
    </xf>
    <xf numFmtId="0" fontId="1" fillId="25" borderId="3" xfId="0" applyFont="1" applyFill="1" applyBorder="1" applyAlignment="1">
      <alignment horizontal="center" vertical="center" wrapText="1"/>
    </xf>
    <xf numFmtId="0" fontId="1" fillId="20" borderId="3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180" fontId="1" fillId="26" borderId="3" xfId="0" applyNumberFormat="1" applyFont="1" applyFill="1" applyBorder="1" applyAlignment="1">
      <alignment horizontal="center" vertical="center" wrapText="1"/>
    </xf>
    <xf numFmtId="180" fontId="1" fillId="26" borderId="2" xfId="0" applyNumberFormat="1" applyFont="1" applyFill="1" applyBorder="1" applyAlignment="1">
      <alignment horizontal="center" vertical="center" wrapText="1"/>
    </xf>
    <xf numFmtId="0" fontId="1" fillId="17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80" fontId="1" fillId="21" borderId="3" xfId="0" applyNumberFormat="1" applyFont="1" applyFill="1" applyBorder="1" applyAlignment="1">
      <alignment horizontal="center" vertical="center" wrapText="1"/>
    </xf>
    <xf numFmtId="0" fontId="6" fillId="16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0" fontId="6" fillId="11" borderId="3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8" fillId="27" borderId="3" xfId="0" applyFont="1" applyFill="1" applyBorder="1" applyAlignment="1">
      <alignment horizontal="center" vertical="center" wrapText="1"/>
    </xf>
    <xf numFmtId="0" fontId="8" fillId="14" borderId="3" xfId="0" applyFont="1" applyFill="1" applyBorder="1" applyAlignment="1">
      <alignment horizontal="center" vertical="center" wrapText="1"/>
    </xf>
    <xf numFmtId="0" fontId="8" fillId="18" borderId="3" xfId="0" applyFont="1" applyFill="1" applyBorder="1" applyAlignment="1">
      <alignment horizontal="center" vertical="center" wrapText="1"/>
    </xf>
    <xf numFmtId="183" fontId="8" fillId="14" borderId="3" xfId="0" applyNumberFormat="1" applyFont="1" applyFill="1" applyBorder="1" applyAlignment="1">
      <alignment horizontal="center" vertical="center" wrapText="1"/>
    </xf>
    <xf numFmtId="180" fontId="8" fillId="12" borderId="3" xfId="0" applyNumberFormat="1" applyFont="1" applyFill="1" applyBorder="1" applyAlignment="1">
      <alignment horizontal="center" vertical="center" wrapText="1"/>
    </xf>
    <xf numFmtId="181" fontId="9" fillId="13" borderId="3" xfId="0" applyNumberFormat="1" applyFont="1" applyFill="1" applyBorder="1" applyAlignment="1">
      <alignment horizontal="center" vertical="center" wrapText="1"/>
    </xf>
    <xf numFmtId="0" fontId="8" fillId="19" borderId="3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182" fontId="8" fillId="14" borderId="3" xfId="0" applyNumberFormat="1" applyFont="1" applyFill="1" applyBorder="1" applyAlignment="1">
      <alignment horizontal="center" vertical="center" wrapText="1"/>
    </xf>
    <xf numFmtId="182" fontId="8" fillId="28" borderId="3" xfId="0" applyNumberFormat="1" applyFont="1" applyFill="1" applyBorder="1" applyAlignment="1">
      <alignment horizontal="center" vertical="center" wrapText="1"/>
    </xf>
    <xf numFmtId="0" fontId="8" fillId="29" borderId="3" xfId="0" applyFont="1" applyFill="1" applyBorder="1" applyAlignment="1">
      <alignment horizontal="center" vertical="center" wrapText="1"/>
    </xf>
    <xf numFmtId="184" fontId="10" fillId="30" borderId="2" xfId="0" applyNumberFormat="1" applyFont="1" applyFill="1" applyBorder="1" applyAlignment="1">
      <alignment horizontal="center" vertical="center" wrapText="1"/>
    </xf>
    <xf numFmtId="185" fontId="11" fillId="0" borderId="2" xfId="0" applyNumberFormat="1" applyFont="1" applyFill="1" applyBorder="1" applyAlignment="1">
      <alignment horizontal="center" vertical="center" wrapText="1"/>
    </xf>
    <xf numFmtId="180" fontId="12" fillId="0" borderId="2" xfId="0" applyNumberFormat="1" applyFont="1" applyFill="1" applyBorder="1" applyAlignment="1">
      <alignment horizontal="right" vertical="center" wrapText="1"/>
    </xf>
    <xf numFmtId="184" fontId="10" fillId="30" borderId="3" xfId="0" applyNumberFormat="1" applyFont="1" applyFill="1" applyBorder="1" applyAlignment="1">
      <alignment horizontal="center" vertical="center" wrapText="1"/>
    </xf>
    <xf numFmtId="185" fontId="11" fillId="0" borderId="3" xfId="0" applyNumberFormat="1" applyFont="1" applyFill="1" applyBorder="1" applyAlignment="1">
      <alignment horizontal="center" vertical="center" wrapText="1"/>
    </xf>
    <xf numFmtId="180" fontId="12" fillId="0" borderId="3" xfId="0" applyNumberFormat="1" applyFont="1" applyFill="1" applyBorder="1" applyAlignment="1">
      <alignment horizontal="right" vertical="center" wrapText="1"/>
    </xf>
    <xf numFmtId="184" fontId="10" fillId="31" borderId="3" xfId="0" applyNumberFormat="1" applyFont="1" applyFill="1" applyBorder="1" applyAlignment="1">
      <alignment horizontal="center" vertical="center" wrapText="1"/>
    </xf>
    <xf numFmtId="180" fontId="13" fillId="30" borderId="3" xfId="0" applyNumberFormat="1" applyFont="1" applyFill="1" applyBorder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2EAF9"/>
      <color rgb="00EDE2F7"/>
      <color rgb="00EADDF6"/>
      <color rgb="00E4D3F4"/>
      <color rgb="00D773FC"/>
      <color rgb="00EE76F8"/>
      <color rgb="00F1A0FB"/>
      <color rgb="00F191F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9" Type="http://schemas.openxmlformats.org/officeDocument/2006/relationships/image" Target="../media/image99.jpeg"/><Relationship Id="rId98" Type="http://schemas.openxmlformats.org/officeDocument/2006/relationships/image" Target="../media/image98.jpeg"/><Relationship Id="rId97" Type="http://schemas.openxmlformats.org/officeDocument/2006/relationships/image" Target="../media/image97.jpeg"/><Relationship Id="rId96" Type="http://schemas.openxmlformats.org/officeDocument/2006/relationships/image" Target="../media/image96.jpeg"/><Relationship Id="rId95" Type="http://schemas.openxmlformats.org/officeDocument/2006/relationships/image" Target="../media/image95.jpeg"/><Relationship Id="rId94" Type="http://schemas.openxmlformats.org/officeDocument/2006/relationships/image" Target="../media/image94.jpeg"/><Relationship Id="rId93" Type="http://schemas.openxmlformats.org/officeDocument/2006/relationships/image" Target="../media/image93.jpeg"/><Relationship Id="rId92" Type="http://schemas.openxmlformats.org/officeDocument/2006/relationships/image" Target="../media/image92.jpeg"/><Relationship Id="rId91" Type="http://schemas.openxmlformats.org/officeDocument/2006/relationships/image" Target="../media/image91.jpeg"/><Relationship Id="rId90" Type="http://schemas.openxmlformats.org/officeDocument/2006/relationships/image" Target="../media/image90.jpeg"/><Relationship Id="rId9" Type="http://schemas.openxmlformats.org/officeDocument/2006/relationships/image" Target="../media/image9.jpeg"/><Relationship Id="rId89" Type="http://schemas.openxmlformats.org/officeDocument/2006/relationships/image" Target="../media/image89.jpeg"/><Relationship Id="rId88" Type="http://schemas.openxmlformats.org/officeDocument/2006/relationships/image" Target="../media/image88.jpeg"/><Relationship Id="rId87" Type="http://schemas.openxmlformats.org/officeDocument/2006/relationships/image" Target="../media/image87.jpeg"/><Relationship Id="rId86" Type="http://schemas.openxmlformats.org/officeDocument/2006/relationships/image" Target="../media/image86.jpeg"/><Relationship Id="rId85" Type="http://schemas.openxmlformats.org/officeDocument/2006/relationships/image" Target="../media/image85.jpeg"/><Relationship Id="rId84" Type="http://schemas.openxmlformats.org/officeDocument/2006/relationships/image" Target="../media/image84.jpeg"/><Relationship Id="rId83" Type="http://schemas.openxmlformats.org/officeDocument/2006/relationships/image" Target="../media/image83.jpeg"/><Relationship Id="rId82" Type="http://schemas.openxmlformats.org/officeDocument/2006/relationships/image" Target="../media/image82.jpeg"/><Relationship Id="rId81" Type="http://schemas.openxmlformats.org/officeDocument/2006/relationships/image" Target="../media/image81.jpeg"/><Relationship Id="rId80" Type="http://schemas.openxmlformats.org/officeDocument/2006/relationships/image" Target="../media/image80.jpeg"/><Relationship Id="rId8" Type="http://schemas.openxmlformats.org/officeDocument/2006/relationships/image" Target="../media/image8.jpeg"/><Relationship Id="rId79" Type="http://schemas.openxmlformats.org/officeDocument/2006/relationships/image" Target="../media/image79.jpeg"/><Relationship Id="rId78" Type="http://schemas.openxmlformats.org/officeDocument/2006/relationships/image" Target="../media/image78.jpeg"/><Relationship Id="rId77" Type="http://schemas.openxmlformats.org/officeDocument/2006/relationships/image" Target="../media/image77.jpeg"/><Relationship Id="rId76" Type="http://schemas.openxmlformats.org/officeDocument/2006/relationships/image" Target="../media/image76.jpeg"/><Relationship Id="rId75" Type="http://schemas.openxmlformats.org/officeDocument/2006/relationships/image" Target="../media/image75.jpeg"/><Relationship Id="rId74" Type="http://schemas.openxmlformats.org/officeDocument/2006/relationships/image" Target="../media/image74.jpeg"/><Relationship Id="rId73" Type="http://schemas.openxmlformats.org/officeDocument/2006/relationships/image" Target="../media/image73.jpeg"/><Relationship Id="rId72" Type="http://schemas.openxmlformats.org/officeDocument/2006/relationships/image" Target="../media/image72.jpeg"/><Relationship Id="rId71" Type="http://schemas.openxmlformats.org/officeDocument/2006/relationships/image" Target="../media/image71.jpeg"/><Relationship Id="rId70" Type="http://schemas.openxmlformats.org/officeDocument/2006/relationships/image" Target="../media/image70.jpeg"/><Relationship Id="rId7" Type="http://schemas.openxmlformats.org/officeDocument/2006/relationships/image" Target="../media/image7.jpeg"/><Relationship Id="rId69" Type="http://schemas.openxmlformats.org/officeDocument/2006/relationships/image" Target="../media/image69.jpeg"/><Relationship Id="rId68" Type="http://schemas.openxmlformats.org/officeDocument/2006/relationships/image" Target="../media/image68.jpeg"/><Relationship Id="rId67" Type="http://schemas.openxmlformats.org/officeDocument/2006/relationships/image" Target="../media/image67.jpeg"/><Relationship Id="rId66" Type="http://schemas.openxmlformats.org/officeDocument/2006/relationships/image" Target="../media/image66.jpeg"/><Relationship Id="rId65" Type="http://schemas.openxmlformats.org/officeDocument/2006/relationships/image" Target="../media/image65.jpeg"/><Relationship Id="rId64" Type="http://schemas.openxmlformats.org/officeDocument/2006/relationships/image" Target="../media/image64.jpeg"/><Relationship Id="rId63" Type="http://schemas.openxmlformats.org/officeDocument/2006/relationships/image" Target="../media/image63.jpeg"/><Relationship Id="rId62" Type="http://schemas.openxmlformats.org/officeDocument/2006/relationships/image" Target="../media/image62.jpeg"/><Relationship Id="rId61" Type="http://schemas.openxmlformats.org/officeDocument/2006/relationships/image" Target="../media/image61.jpeg"/><Relationship Id="rId60" Type="http://schemas.openxmlformats.org/officeDocument/2006/relationships/image" Target="../media/image60.jpeg"/><Relationship Id="rId6" Type="http://schemas.openxmlformats.org/officeDocument/2006/relationships/image" Target="../media/image6.jpeg"/><Relationship Id="rId59" Type="http://schemas.openxmlformats.org/officeDocument/2006/relationships/image" Target="../media/image59.jpeg"/><Relationship Id="rId58" Type="http://schemas.openxmlformats.org/officeDocument/2006/relationships/image" Target="../media/image58.jpeg"/><Relationship Id="rId57" Type="http://schemas.openxmlformats.org/officeDocument/2006/relationships/image" Target="../media/image57.jpeg"/><Relationship Id="rId56" Type="http://schemas.openxmlformats.org/officeDocument/2006/relationships/image" Target="../media/image56.jpeg"/><Relationship Id="rId55" Type="http://schemas.openxmlformats.org/officeDocument/2006/relationships/image" Target="../media/image55.jpeg"/><Relationship Id="rId54" Type="http://schemas.openxmlformats.org/officeDocument/2006/relationships/image" Target="../media/image54.jpeg"/><Relationship Id="rId53" Type="http://schemas.openxmlformats.org/officeDocument/2006/relationships/image" Target="../media/image53.jpeg"/><Relationship Id="rId52" Type="http://schemas.openxmlformats.org/officeDocument/2006/relationships/image" Target="../media/image52.jpeg"/><Relationship Id="rId51" Type="http://schemas.openxmlformats.org/officeDocument/2006/relationships/image" Target="../media/image51.jpeg"/><Relationship Id="rId50" Type="http://schemas.openxmlformats.org/officeDocument/2006/relationships/image" Target="../media/image50.jpeg"/><Relationship Id="rId5" Type="http://schemas.openxmlformats.org/officeDocument/2006/relationships/image" Target="../media/image5.jpeg"/><Relationship Id="rId49" Type="http://schemas.openxmlformats.org/officeDocument/2006/relationships/image" Target="../media/image49.jpeg"/><Relationship Id="rId48" Type="http://schemas.openxmlformats.org/officeDocument/2006/relationships/image" Target="../media/image48.jpeg"/><Relationship Id="rId47" Type="http://schemas.openxmlformats.org/officeDocument/2006/relationships/image" Target="../media/image47.jpeg"/><Relationship Id="rId46" Type="http://schemas.openxmlformats.org/officeDocument/2006/relationships/image" Target="../media/image46.jpeg"/><Relationship Id="rId45" Type="http://schemas.openxmlformats.org/officeDocument/2006/relationships/image" Target="../media/image45.jpeg"/><Relationship Id="rId44" Type="http://schemas.openxmlformats.org/officeDocument/2006/relationships/image" Target="../media/image44.jpeg"/><Relationship Id="rId43" Type="http://schemas.openxmlformats.org/officeDocument/2006/relationships/image" Target="../media/image43.jpeg"/><Relationship Id="rId42" Type="http://schemas.openxmlformats.org/officeDocument/2006/relationships/image" Target="../media/image42.jpeg"/><Relationship Id="rId41" Type="http://schemas.openxmlformats.org/officeDocument/2006/relationships/image" Target="../media/image41.jpeg"/><Relationship Id="rId40" Type="http://schemas.openxmlformats.org/officeDocument/2006/relationships/image" Target="../media/image40.jpeg"/><Relationship Id="rId4" Type="http://schemas.openxmlformats.org/officeDocument/2006/relationships/image" Target="../media/image4.jpeg"/><Relationship Id="rId39" Type="http://schemas.openxmlformats.org/officeDocument/2006/relationships/image" Target="../media/image39.jpeg"/><Relationship Id="rId38" Type="http://schemas.openxmlformats.org/officeDocument/2006/relationships/image" Target="../media/image38.jpeg"/><Relationship Id="rId37" Type="http://schemas.openxmlformats.org/officeDocument/2006/relationships/image" Target="../media/image37.jpeg"/><Relationship Id="rId36" Type="http://schemas.openxmlformats.org/officeDocument/2006/relationships/image" Target="../media/image36.jpeg"/><Relationship Id="rId35" Type="http://schemas.openxmlformats.org/officeDocument/2006/relationships/image" Target="../media/image35.jpeg"/><Relationship Id="rId34" Type="http://schemas.openxmlformats.org/officeDocument/2006/relationships/image" Target="../media/image34.jpeg"/><Relationship Id="rId33" Type="http://schemas.openxmlformats.org/officeDocument/2006/relationships/image" Target="../media/image33.jpeg"/><Relationship Id="rId32" Type="http://schemas.openxmlformats.org/officeDocument/2006/relationships/image" Target="../media/image32.jpeg"/><Relationship Id="rId31" Type="http://schemas.openxmlformats.org/officeDocument/2006/relationships/image" Target="../media/image31.jpeg"/><Relationship Id="rId30" Type="http://schemas.openxmlformats.org/officeDocument/2006/relationships/image" Target="../media/image30.jpeg"/><Relationship Id="rId3" Type="http://schemas.openxmlformats.org/officeDocument/2006/relationships/image" Target="../media/image3.jpeg"/><Relationship Id="rId29" Type="http://schemas.openxmlformats.org/officeDocument/2006/relationships/image" Target="../media/image29.jpeg"/><Relationship Id="rId28" Type="http://schemas.openxmlformats.org/officeDocument/2006/relationships/image" Target="../media/image28.jpeg"/><Relationship Id="rId27" Type="http://schemas.openxmlformats.org/officeDocument/2006/relationships/image" Target="../media/image27.jpeg"/><Relationship Id="rId26" Type="http://schemas.openxmlformats.org/officeDocument/2006/relationships/image" Target="../media/image26.jpeg"/><Relationship Id="rId25" Type="http://schemas.openxmlformats.org/officeDocument/2006/relationships/image" Target="../media/image25.jpeg"/><Relationship Id="rId24" Type="http://schemas.openxmlformats.org/officeDocument/2006/relationships/image" Target="../media/image24.jpeg"/><Relationship Id="rId23" Type="http://schemas.openxmlformats.org/officeDocument/2006/relationships/image" Target="../media/image23.jpeg"/><Relationship Id="rId22" Type="http://schemas.openxmlformats.org/officeDocument/2006/relationships/image" Target="../media/image22.jpeg"/><Relationship Id="rId21" Type="http://schemas.openxmlformats.org/officeDocument/2006/relationships/image" Target="../media/image21.jpeg"/><Relationship Id="rId20" Type="http://schemas.openxmlformats.org/officeDocument/2006/relationships/image" Target="../media/image20.jpeg"/><Relationship Id="rId2" Type="http://schemas.openxmlformats.org/officeDocument/2006/relationships/image" Target="../media/image2.jpeg"/><Relationship Id="rId19" Type="http://schemas.openxmlformats.org/officeDocument/2006/relationships/image" Target="../media/image19.jpeg"/><Relationship Id="rId18" Type="http://schemas.openxmlformats.org/officeDocument/2006/relationships/image" Target="../media/image18.jpeg"/><Relationship Id="rId17" Type="http://schemas.openxmlformats.org/officeDocument/2006/relationships/image" Target="../media/image17.jpeg"/><Relationship Id="rId16" Type="http://schemas.openxmlformats.org/officeDocument/2006/relationships/image" Target="../media/image16.jpeg"/><Relationship Id="rId15" Type="http://schemas.openxmlformats.org/officeDocument/2006/relationships/image" Target="../media/image15.jpeg"/><Relationship Id="rId141" Type="http://schemas.openxmlformats.org/officeDocument/2006/relationships/image" Target="../media/image141.jpeg"/><Relationship Id="rId140" Type="http://schemas.openxmlformats.org/officeDocument/2006/relationships/image" Target="../media/image140.jpeg"/><Relationship Id="rId14" Type="http://schemas.openxmlformats.org/officeDocument/2006/relationships/image" Target="../media/image14.jpeg"/><Relationship Id="rId139" Type="http://schemas.openxmlformats.org/officeDocument/2006/relationships/image" Target="../media/image139.jpeg"/><Relationship Id="rId138" Type="http://schemas.openxmlformats.org/officeDocument/2006/relationships/image" Target="../media/image138.jpeg"/><Relationship Id="rId137" Type="http://schemas.openxmlformats.org/officeDocument/2006/relationships/image" Target="../media/image137.jpeg"/><Relationship Id="rId136" Type="http://schemas.openxmlformats.org/officeDocument/2006/relationships/image" Target="../media/image136.jpeg"/><Relationship Id="rId135" Type="http://schemas.openxmlformats.org/officeDocument/2006/relationships/image" Target="../media/image135.jpeg"/><Relationship Id="rId134" Type="http://schemas.openxmlformats.org/officeDocument/2006/relationships/image" Target="../media/image134.jpeg"/><Relationship Id="rId133" Type="http://schemas.openxmlformats.org/officeDocument/2006/relationships/image" Target="../media/image133.jpeg"/><Relationship Id="rId132" Type="http://schemas.openxmlformats.org/officeDocument/2006/relationships/image" Target="../media/image132.jpeg"/><Relationship Id="rId131" Type="http://schemas.openxmlformats.org/officeDocument/2006/relationships/image" Target="../media/image131.jpeg"/><Relationship Id="rId130" Type="http://schemas.openxmlformats.org/officeDocument/2006/relationships/image" Target="../media/image130.jpeg"/><Relationship Id="rId13" Type="http://schemas.openxmlformats.org/officeDocument/2006/relationships/image" Target="../media/image13.jpeg"/><Relationship Id="rId129" Type="http://schemas.openxmlformats.org/officeDocument/2006/relationships/image" Target="../media/image129.jpeg"/><Relationship Id="rId128" Type="http://schemas.openxmlformats.org/officeDocument/2006/relationships/image" Target="../media/image128.jpeg"/><Relationship Id="rId127" Type="http://schemas.openxmlformats.org/officeDocument/2006/relationships/image" Target="../media/image127.jpeg"/><Relationship Id="rId126" Type="http://schemas.openxmlformats.org/officeDocument/2006/relationships/image" Target="../media/image126.jpeg"/><Relationship Id="rId125" Type="http://schemas.openxmlformats.org/officeDocument/2006/relationships/image" Target="../media/image125.jpeg"/><Relationship Id="rId124" Type="http://schemas.openxmlformats.org/officeDocument/2006/relationships/image" Target="../media/image124.jpeg"/><Relationship Id="rId123" Type="http://schemas.openxmlformats.org/officeDocument/2006/relationships/image" Target="../media/image123.jpeg"/><Relationship Id="rId122" Type="http://schemas.openxmlformats.org/officeDocument/2006/relationships/image" Target="../media/image122.jpeg"/><Relationship Id="rId121" Type="http://schemas.openxmlformats.org/officeDocument/2006/relationships/image" Target="../media/image121.jpeg"/><Relationship Id="rId120" Type="http://schemas.openxmlformats.org/officeDocument/2006/relationships/image" Target="../media/image120.jpeg"/><Relationship Id="rId12" Type="http://schemas.openxmlformats.org/officeDocument/2006/relationships/image" Target="../media/image12.jpeg"/><Relationship Id="rId119" Type="http://schemas.openxmlformats.org/officeDocument/2006/relationships/image" Target="../media/image119.jpeg"/><Relationship Id="rId118" Type="http://schemas.openxmlformats.org/officeDocument/2006/relationships/image" Target="../media/image118.jpeg"/><Relationship Id="rId117" Type="http://schemas.openxmlformats.org/officeDocument/2006/relationships/image" Target="../media/image117.jpeg"/><Relationship Id="rId116" Type="http://schemas.openxmlformats.org/officeDocument/2006/relationships/image" Target="../media/image116.jpeg"/><Relationship Id="rId115" Type="http://schemas.openxmlformats.org/officeDocument/2006/relationships/image" Target="../media/image115.jpeg"/><Relationship Id="rId114" Type="http://schemas.openxmlformats.org/officeDocument/2006/relationships/image" Target="../media/image114.jpeg"/><Relationship Id="rId113" Type="http://schemas.openxmlformats.org/officeDocument/2006/relationships/image" Target="../media/image113.jpeg"/><Relationship Id="rId112" Type="http://schemas.openxmlformats.org/officeDocument/2006/relationships/image" Target="../media/image112.jpeg"/><Relationship Id="rId111" Type="http://schemas.openxmlformats.org/officeDocument/2006/relationships/image" Target="../media/image111.jpeg"/><Relationship Id="rId110" Type="http://schemas.openxmlformats.org/officeDocument/2006/relationships/image" Target="../media/image110.jpeg"/><Relationship Id="rId11" Type="http://schemas.openxmlformats.org/officeDocument/2006/relationships/image" Target="../media/image11.jpeg"/><Relationship Id="rId109" Type="http://schemas.openxmlformats.org/officeDocument/2006/relationships/image" Target="../media/image109.jpeg"/><Relationship Id="rId108" Type="http://schemas.openxmlformats.org/officeDocument/2006/relationships/image" Target="../media/image108.jpeg"/><Relationship Id="rId107" Type="http://schemas.openxmlformats.org/officeDocument/2006/relationships/image" Target="../media/image107.jpeg"/><Relationship Id="rId106" Type="http://schemas.openxmlformats.org/officeDocument/2006/relationships/image" Target="../media/image106.jpeg"/><Relationship Id="rId105" Type="http://schemas.openxmlformats.org/officeDocument/2006/relationships/image" Target="../media/image105.jpeg"/><Relationship Id="rId104" Type="http://schemas.openxmlformats.org/officeDocument/2006/relationships/image" Target="../media/image104.jpeg"/><Relationship Id="rId103" Type="http://schemas.openxmlformats.org/officeDocument/2006/relationships/image" Target="../media/image103.jpeg"/><Relationship Id="rId102" Type="http://schemas.openxmlformats.org/officeDocument/2006/relationships/image" Target="../media/image102.jpeg"/><Relationship Id="rId101" Type="http://schemas.openxmlformats.org/officeDocument/2006/relationships/image" Target="../media/image101.jpeg"/><Relationship Id="rId100" Type="http://schemas.openxmlformats.org/officeDocument/2006/relationships/image" Target="../media/image100.jpeg"/><Relationship Id="rId10" Type="http://schemas.openxmlformats.org/officeDocument/2006/relationships/image" Target="../media/image10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19050</xdr:colOff>
      <xdr:row>3</xdr:row>
      <xdr:rowOff>18415</xdr:rowOff>
    </xdr:from>
    <xdr:to>
      <xdr:col>3</xdr:col>
      <xdr:colOff>1266825</xdr:colOff>
      <xdr:row>3</xdr:row>
      <xdr:rowOff>1256665</xdr:rowOff>
    </xdr:to>
    <xdr:pic>
      <xdr:nvPicPr>
        <xdr:cNvPr id="3" name="ID_8A4BA5ADB7404F06A767B4B68715AF0F" descr="322-115 (2)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924050" y="145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4</xdr:row>
      <xdr:rowOff>18415</xdr:rowOff>
    </xdr:from>
    <xdr:to>
      <xdr:col>3</xdr:col>
      <xdr:colOff>1266825</xdr:colOff>
      <xdr:row>4</xdr:row>
      <xdr:rowOff>1256665</xdr:rowOff>
    </xdr:to>
    <xdr:pic>
      <xdr:nvPicPr>
        <xdr:cNvPr id="4" name="ID_FCB6DFF2D49E4B0C8BD18E5DC03AE158" descr="322-116 (2)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24050" y="272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</xdr:row>
      <xdr:rowOff>18415</xdr:rowOff>
    </xdr:from>
    <xdr:to>
      <xdr:col>3</xdr:col>
      <xdr:colOff>1266825</xdr:colOff>
      <xdr:row>5</xdr:row>
      <xdr:rowOff>1256665</xdr:rowOff>
    </xdr:to>
    <xdr:pic>
      <xdr:nvPicPr>
        <xdr:cNvPr id="5" name="ID_F3B91001775F4C489EF94C028E50EC47" descr="322-117 (2)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924050" y="399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6</xdr:row>
      <xdr:rowOff>18415</xdr:rowOff>
    </xdr:from>
    <xdr:to>
      <xdr:col>3</xdr:col>
      <xdr:colOff>1266825</xdr:colOff>
      <xdr:row>6</xdr:row>
      <xdr:rowOff>1256665</xdr:rowOff>
    </xdr:to>
    <xdr:pic>
      <xdr:nvPicPr>
        <xdr:cNvPr id="11" name="ID_8ED3B75ACED7489D8E3047853549CEF1" descr="322-8 (2)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24050" y="526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</xdr:row>
      <xdr:rowOff>18415</xdr:rowOff>
    </xdr:from>
    <xdr:to>
      <xdr:col>3</xdr:col>
      <xdr:colOff>1266825</xdr:colOff>
      <xdr:row>7</xdr:row>
      <xdr:rowOff>1256665</xdr:rowOff>
    </xdr:to>
    <xdr:pic>
      <xdr:nvPicPr>
        <xdr:cNvPr id="12" name="ID_217493E899CA4D258352713F16F22E38" descr="322-9 (2)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924050" y="653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</xdr:row>
      <xdr:rowOff>18415</xdr:rowOff>
    </xdr:from>
    <xdr:to>
      <xdr:col>3</xdr:col>
      <xdr:colOff>1266825</xdr:colOff>
      <xdr:row>8</xdr:row>
      <xdr:rowOff>1256665</xdr:rowOff>
    </xdr:to>
    <xdr:pic>
      <xdr:nvPicPr>
        <xdr:cNvPr id="13" name="ID_A9884C2D80F04DD4B4C2BA7E845A88DF" descr="322-10 (2)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924050" y="780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9</xdr:row>
      <xdr:rowOff>18415</xdr:rowOff>
    </xdr:from>
    <xdr:to>
      <xdr:col>3</xdr:col>
      <xdr:colOff>1266825</xdr:colOff>
      <xdr:row>9</xdr:row>
      <xdr:rowOff>1256665</xdr:rowOff>
    </xdr:to>
    <xdr:pic>
      <xdr:nvPicPr>
        <xdr:cNvPr id="14" name="ID_591FD8F0388B47B59560D130B8F44417" descr="322-11 (2)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924050" y="907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10</xdr:row>
      <xdr:rowOff>18415</xdr:rowOff>
    </xdr:from>
    <xdr:to>
      <xdr:col>3</xdr:col>
      <xdr:colOff>1266825</xdr:colOff>
      <xdr:row>10</xdr:row>
      <xdr:rowOff>1256665</xdr:rowOff>
    </xdr:to>
    <xdr:pic>
      <xdr:nvPicPr>
        <xdr:cNvPr id="15" name="ID_99690AF7FF7D4337B3556B45EF1BFA41" descr="322-12 (2)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924050" y="1034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11</xdr:row>
      <xdr:rowOff>18415</xdr:rowOff>
    </xdr:from>
    <xdr:to>
      <xdr:col>3</xdr:col>
      <xdr:colOff>1266825</xdr:colOff>
      <xdr:row>11</xdr:row>
      <xdr:rowOff>1256665</xdr:rowOff>
    </xdr:to>
    <xdr:pic>
      <xdr:nvPicPr>
        <xdr:cNvPr id="16" name="ID_DB2D8FBA01A849F086CFA244E4AD6A43" descr="322-13 (2)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924050" y="1161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12</xdr:row>
      <xdr:rowOff>18415</xdr:rowOff>
    </xdr:from>
    <xdr:to>
      <xdr:col>3</xdr:col>
      <xdr:colOff>1266825</xdr:colOff>
      <xdr:row>12</xdr:row>
      <xdr:rowOff>1256665</xdr:rowOff>
    </xdr:to>
    <xdr:pic>
      <xdr:nvPicPr>
        <xdr:cNvPr id="17" name="ID_309989FFA50B492D8EF9969B273C7D38" descr="322-14 (2)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924050" y="1288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13</xdr:row>
      <xdr:rowOff>18415</xdr:rowOff>
    </xdr:from>
    <xdr:to>
      <xdr:col>3</xdr:col>
      <xdr:colOff>1266825</xdr:colOff>
      <xdr:row>13</xdr:row>
      <xdr:rowOff>1256665</xdr:rowOff>
    </xdr:to>
    <xdr:pic>
      <xdr:nvPicPr>
        <xdr:cNvPr id="18" name="ID_D185167130644D69A4DA5DA6C2EAA60B" descr="322-15 (2)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924050" y="1415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14</xdr:row>
      <xdr:rowOff>18415</xdr:rowOff>
    </xdr:from>
    <xdr:to>
      <xdr:col>3</xdr:col>
      <xdr:colOff>1266825</xdr:colOff>
      <xdr:row>14</xdr:row>
      <xdr:rowOff>1256665</xdr:rowOff>
    </xdr:to>
    <xdr:pic>
      <xdr:nvPicPr>
        <xdr:cNvPr id="19" name="ID_1C028D329C8349FA9EA27DD14B35DB7F" descr="322-112 (2)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1924050" y="1542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15</xdr:row>
      <xdr:rowOff>18415</xdr:rowOff>
    </xdr:from>
    <xdr:to>
      <xdr:col>3</xdr:col>
      <xdr:colOff>1266825</xdr:colOff>
      <xdr:row>15</xdr:row>
      <xdr:rowOff>1256665</xdr:rowOff>
    </xdr:to>
    <xdr:pic>
      <xdr:nvPicPr>
        <xdr:cNvPr id="20" name="ID_901FF05BEB244A8CA30D562B6773627F" descr="322-113 (2)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924050" y="1669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16</xdr:row>
      <xdr:rowOff>18415</xdr:rowOff>
    </xdr:from>
    <xdr:to>
      <xdr:col>3</xdr:col>
      <xdr:colOff>1266825</xdr:colOff>
      <xdr:row>16</xdr:row>
      <xdr:rowOff>1256665</xdr:rowOff>
    </xdr:to>
    <xdr:pic>
      <xdr:nvPicPr>
        <xdr:cNvPr id="21" name="ID_6AEB099D58AC4C86950C54E483EF295F" descr="322-114 (2)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1924050" y="1796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17</xdr:row>
      <xdr:rowOff>18415</xdr:rowOff>
    </xdr:from>
    <xdr:to>
      <xdr:col>3</xdr:col>
      <xdr:colOff>1266825</xdr:colOff>
      <xdr:row>17</xdr:row>
      <xdr:rowOff>1256665</xdr:rowOff>
    </xdr:to>
    <xdr:pic>
      <xdr:nvPicPr>
        <xdr:cNvPr id="22" name="ID_2EC941D4AB8F4954AAF6BA45AE1FDF04" descr="292-27 (2)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1924050" y="1923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18</xdr:row>
      <xdr:rowOff>18415</xdr:rowOff>
    </xdr:from>
    <xdr:to>
      <xdr:col>3</xdr:col>
      <xdr:colOff>1266825</xdr:colOff>
      <xdr:row>18</xdr:row>
      <xdr:rowOff>1256665</xdr:rowOff>
    </xdr:to>
    <xdr:pic>
      <xdr:nvPicPr>
        <xdr:cNvPr id="23" name="ID_37CD81EA0EFD48BA918C7672129DFEDE" descr="292-28 (2)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1924050" y="2050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19</xdr:row>
      <xdr:rowOff>18415</xdr:rowOff>
    </xdr:from>
    <xdr:to>
      <xdr:col>3</xdr:col>
      <xdr:colOff>1266825</xdr:colOff>
      <xdr:row>19</xdr:row>
      <xdr:rowOff>1256665</xdr:rowOff>
    </xdr:to>
    <xdr:pic>
      <xdr:nvPicPr>
        <xdr:cNvPr id="24" name="ID_58B30879D9B345FC91CCCFC95C96C1C8" descr="292-29 (2)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1924050" y="2177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20</xdr:row>
      <xdr:rowOff>18415</xdr:rowOff>
    </xdr:from>
    <xdr:to>
      <xdr:col>3</xdr:col>
      <xdr:colOff>1266825</xdr:colOff>
      <xdr:row>20</xdr:row>
      <xdr:rowOff>1256665</xdr:rowOff>
    </xdr:to>
    <xdr:pic>
      <xdr:nvPicPr>
        <xdr:cNvPr id="25" name="ID_EC629786B87347218D3A0972412AEBDF" descr="292-30 (2)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1924050" y="2304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21</xdr:row>
      <xdr:rowOff>18415</xdr:rowOff>
    </xdr:from>
    <xdr:to>
      <xdr:col>3</xdr:col>
      <xdr:colOff>1266825</xdr:colOff>
      <xdr:row>21</xdr:row>
      <xdr:rowOff>1256665</xdr:rowOff>
    </xdr:to>
    <xdr:pic>
      <xdr:nvPicPr>
        <xdr:cNvPr id="26" name="ID_293862ACA42D469C8FA9B176CCB48FBD" descr="322-60 (2)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924050" y="2431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22</xdr:row>
      <xdr:rowOff>13970</xdr:rowOff>
    </xdr:from>
    <xdr:to>
      <xdr:col>3</xdr:col>
      <xdr:colOff>1266825</xdr:colOff>
      <xdr:row>22</xdr:row>
      <xdr:rowOff>1252220</xdr:rowOff>
    </xdr:to>
    <xdr:pic>
      <xdr:nvPicPr>
        <xdr:cNvPr id="27" name="ID_6226A3BD98204D5A9DC542C0E298B81A" descr="322-61 (2)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924050" y="25579070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23</xdr:row>
      <xdr:rowOff>18415</xdr:rowOff>
    </xdr:from>
    <xdr:to>
      <xdr:col>3</xdr:col>
      <xdr:colOff>1266825</xdr:colOff>
      <xdr:row>23</xdr:row>
      <xdr:rowOff>1256665</xdr:rowOff>
    </xdr:to>
    <xdr:pic>
      <xdr:nvPicPr>
        <xdr:cNvPr id="28" name="ID_BF5B372F3A064F558372251B407A35CC" descr="322-62 (2)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924050" y="2685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24</xdr:row>
      <xdr:rowOff>18415</xdr:rowOff>
    </xdr:from>
    <xdr:to>
      <xdr:col>3</xdr:col>
      <xdr:colOff>1266825</xdr:colOff>
      <xdr:row>24</xdr:row>
      <xdr:rowOff>1256665</xdr:rowOff>
    </xdr:to>
    <xdr:pic>
      <xdr:nvPicPr>
        <xdr:cNvPr id="29" name="ID_5E93AF1A7CBC4F51AB6B5CB2CE195C97" descr="322-63 (2)"/>
        <xdr:cNvPicPr>
          <a:picLocks noChangeAspect="1"/>
        </xdr:cNvPicPr>
      </xdr:nvPicPr>
      <xdr:blipFill>
        <a:blip r:embed="rId22"/>
        <a:stretch>
          <a:fillRect/>
        </a:stretch>
      </xdr:blipFill>
      <xdr:spPr>
        <a:xfrm>
          <a:off x="1924050" y="2812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25</xdr:row>
      <xdr:rowOff>18415</xdr:rowOff>
    </xdr:from>
    <xdr:to>
      <xdr:col>3</xdr:col>
      <xdr:colOff>1266825</xdr:colOff>
      <xdr:row>25</xdr:row>
      <xdr:rowOff>1256665</xdr:rowOff>
    </xdr:to>
    <xdr:pic>
      <xdr:nvPicPr>
        <xdr:cNvPr id="30" name="ID_0BC8BE3637FF445C86A60F8ACD50D4AE" descr="322-64 (2)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1924050" y="2939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26</xdr:row>
      <xdr:rowOff>18415</xdr:rowOff>
    </xdr:from>
    <xdr:to>
      <xdr:col>3</xdr:col>
      <xdr:colOff>1266825</xdr:colOff>
      <xdr:row>26</xdr:row>
      <xdr:rowOff>1256665</xdr:rowOff>
    </xdr:to>
    <xdr:pic>
      <xdr:nvPicPr>
        <xdr:cNvPr id="31" name="ID_422DC51E3296468889D9EC541B96D1BB" descr="322-65 (2)"/>
        <xdr:cNvPicPr>
          <a:picLocks noChangeAspect="1"/>
        </xdr:cNvPicPr>
      </xdr:nvPicPr>
      <xdr:blipFill>
        <a:blip r:embed="rId24"/>
        <a:stretch>
          <a:fillRect/>
        </a:stretch>
      </xdr:blipFill>
      <xdr:spPr>
        <a:xfrm>
          <a:off x="1924050" y="3066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27</xdr:row>
      <xdr:rowOff>18415</xdr:rowOff>
    </xdr:from>
    <xdr:to>
      <xdr:col>3</xdr:col>
      <xdr:colOff>1266825</xdr:colOff>
      <xdr:row>27</xdr:row>
      <xdr:rowOff>1256665</xdr:rowOff>
    </xdr:to>
    <xdr:pic>
      <xdr:nvPicPr>
        <xdr:cNvPr id="32" name="ID_353A336A08F345578E0846659D294E84" descr="322-66 (2)"/>
        <xdr:cNvPicPr>
          <a:picLocks noChangeAspect="1"/>
        </xdr:cNvPicPr>
      </xdr:nvPicPr>
      <xdr:blipFill>
        <a:blip r:embed="rId25"/>
        <a:stretch>
          <a:fillRect/>
        </a:stretch>
      </xdr:blipFill>
      <xdr:spPr>
        <a:xfrm>
          <a:off x="1924050" y="3193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29</xdr:row>
      <xdr:rowOff>23495</xdr:rowOff>
    </xdr:from>
    <xdr:to>
      <xdr:col>3</xdr:col>
      <xdr:colOff>1266825</xdr:colOff>
      <xdr:row>29</xdr:row>
      <xdr:rowOff>1261745</xdr:rowOff>
    </xdr:to>
    <xdr:pic>
      <xdr:nvPicPr>
        <xdr:cNvPr id="33" name="ID_19A9E657FE9D47D7AB933AE46F365A7D" descr="322-68 (2)"/>
        <xdr:cNvPicPr>
          <a:picLocks noChangeAspect="1"/>
        </xdr:cNvPicPr>
      </xdr:nvPicPr>
      <xdr:blipFill>
        <a:blip r:embed="rId26"/>
        <a:stretch>
          <a:fillRect/>
        </a:stretch>
      </xdr:blipFill>
      <xdr:spPr>
        <a:xfrm>
          <a:off x="1924050" y="3447859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30</xdr:row>
      <xdr:rowOff>18415</xdr:rowOff>
    </xdr:from>
    <xdr:to>
      <xdr:col>3</xdr:col>
      <xdr:colOff>1266825</xdr:colOff>
      <xdr:row>30</xdr:row>
      <xdr:rowOff>1256665</xdr:rowOff>
    </xdr:to>
    <xdr:pic>
      <xdr:nvPicPr>
        <xdr:cNvPr id="34" name="ID_432D61F4D21B4B7FA3AEE5E8FBE1FC88" descr="322-69 (2)"/>
        <xdr:cNvPicPr>
          <a:picLocks noChangeAspect="1"/>
        </xdr:cNvPicPr>
      </xdr:nvPicPr>
      <xdr:blipFill>
        <a:blip r:embed="rId27"/>
        <a:stretch>
          <a:fillRect/>
        </a:stretch>
      </xdr:blipFill>
      <xdr:spPr>
        <a:xfrm>
          <a:off x="1924050" y="3574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31</xdr:row>
      <xdr:rowOff>23495</xdr:rowOff>
    </xdr:from>
    <xdr:to>
      <xdr:col>3</xdr:col>
      <xdr:colOff>1266825</xdr:colOff>
      <xdr:row>31</xdr:row>
      <xdr:rowOff>1261745</xdr:rowOff>
    </xdr:to>
    <xdr:pic>
      <xdr:nvPicPr>
        <xdr:cNvPr id="35" name="ID_012B511734324D0E835D307F0D1A8B8D" descr="322-70 (2)"/>
        <xdr:cNvPicPr>
          <a:picLocks noChangeAspect="1"/>
        </xdr:cNvPicPr>
      </xdr:nvPicPr>
      <xdr:blipFill>
        <a:blip r:embed="rId28"/>
        <a:stretch>
          <a:fillRect/>
        </a:stretch>
      </xdr:blipFill>
      <xdr:spPr>
        <a:xfrm>
          <a:off x="1924050" y="3701859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32</xdr:row>
      <xdr:rowOff>18415</xdr:rowOff>
    </xdr:from>
    <xdr:to>
      <xdr:col>3</xdr:col>
      <xdr:colOff>1266825</xdr:colOff>
      <xdr:row>32</xdr:row>
      <xdr:rowOff>1256665</xdr:rowOff>
    </xdr:to>
    <xdr:pic>
      <xdr:nvPicPr>
        <xdr:cNvPr id="36" name="ID_7603232A94FC4D7AAEB9F06BDC3FA1A5" descr="322-71 (2)"/>
        <xdr:cNvPicPr>
          <a:picLocks noChangeAspect="1"/>
        </xdr:cNvPicPr>
      </xdr:nvPicPr>
      <xdr:blipFill>
        <a:blip r:embed="rId29"/>
        <a:stretch>
          <a:fillRect/>
        </a:stretch>
      </xdr:blipFill>
      <xdr:spPr>
        <a:xfrm>
          <a:off x="1924050" y="3828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33</xdr:row>
      <xdr:rowOff>18415</xdr:rowOff>
    </xdr:from>
    <xdr:to>
      <xdr:col>3</xdr:col>
      <xdr:colOff>1266825</xdr:colOff>
      <xdr:row>33</xdr:row>
      <xdr:rowOff>1256665</xdr:rowOff>
    </xdr:to>
    <xdr:pic>
      <xdr:nvPicPr>
        <xdr:cNvPr id="37" name="ID_1B783B68B4204EAAA8AB4E52437D2368" descr="322-72 (2)"/>
        <xdr:cNvPicPr>
          <a:picLocks noChangeAspect="1"/>
        </xdr:cNvPicPr>
      </xdr:nvPicPr>
      <xdr:blipFill>
        <a:blip r:embed="rId30"/>
        <a:stretch>
          <a:fillRect/>
        </a:stretch>
      </xdr:blipFill>
      <xdr:spPr>
        <a:xfrm>
          <a:off x="1924050" y="3955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34</xdr:row>
      <xdr:rowOff>18415</xdr:rowOff>
    </xdr:from>
    <xdr:to>
      <xdr:col>3</xdr:col>
      <xdr:colOff>1266825</xdr:colOff>
      <xdr:row>34</xdr:row>
      <xdr:rowOff>1256665</xdr:rowOff>
    </xdr:to>
    <xdr:pic>
      <xdr:nvPicPr>
        <xdr:cNvPr id="38" name="ID_EA6AC1E6FFB44691B5530CE8D1C01E5B" descr="322-73 (2)"/>
        <xdr:cNvPicPr>
          <a:picLocks noChangeAspect="1"/>
        </xdr:cNvPicPr>
      </xdr:nvPicPr>
      <xdr:blipFill>
        <a:blip r:embed="rId31"/>
        <a:stretch>
          <a:fillRect/>
        </a:stretch>
      </xdr:blipFill>
      <xdr:spPr>
        <a:xfrm>
          <a:off x="1924050" y="4082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35</xdr:row>
      <xdr:rowOff>18415</xdr:rowOff>
    </xdr:from>
    <xdr:to>
      <xdr:col>3</xdr:col>
      <xdr:colOff>1266825</xdr:colOff>
      <xdr:row>35</xdr:row>
      <xdr:rowOff>1256665</xdr:rowOff>
    </xdr:to>
    <xdr:pic>
      <xdr:nvPicPr>
        <xdr:cNvPr id="39" name="ID_A8DAA11AEC5544909FB5AADED6C185A5" descr="322-74 (2)"/>
        <xdr:cNvPicPr>
          <a:picLocks noChangeAspect="1"/>
        </xdr:cNvPicPr>
      </xdr:nvPicPr>
      <xdr:blipFill>
        <a:blip r:embed="rId32"/>
        <a:stretch>
          <a:fillRect/>
        </a:stretch>
      </xdr:blipFill>
      <xdr:spPr>
        <a:xfrm>
          <a:off x="1924050" y="4209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36</xdr:row>
      <xdr:rowOff>18415</xdr:rowOff>
    </xdr:from>
    <xdr:to>
      <xdr:col>3</xdr:col>
      <xdr:colOff>1266825</xdr:colOff>
      <xdr:row>36</xdr:row>
      <xdr:rowOff>1256665</xdr:rowOff>
    </xdr:to>
    <xdr:pic>
      <xdr:nvPicPr>
        <xdr:cNvPr id="40" name="ID_63315AA6E9A544B5B5362D6A048C1E51" descr="322-75 (2)"/>
        <xdr:cNvPicPr>
          <a:picLocks noChangeAspect="1"/>
        </xdr:cNvPicPr>
      </xdr:nvPicPr>
      <xdr:blipFill>
        <a:blip r:embed="rId33"/>
        <a:stretch>
          <a:fillRect/>
        </a:stretch>
      </xdr:blipFill>
      <xdr:spPr>
        <a:xfrm>
          <a:off x="1924050" y="4336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37</xdr:row>
      <xdr:rowOff>18415</xdr:rowOff>
    </xdr:from>
    <xdr:to>
      <xdr:col>3</xdr:col>
      <xdr:colOff>1266825</xdr:colOff>
      <xdr:row>37</xdr:row>
      <xdr:rowOff>1256665</xdr:rowOff>
    </xdr:to>
    <xdr:pic>
      <xdr:nvPicPr>
        <xdr:cNvPr id="41" name="ID_6E030BE7B20C497B91807C19FC17915D" descr="322-76 (2)"/>
        <xdr:cNvPicPr>
          <a:picLocks noChangeAspect="1"/>
        </xdr:cNvPicPr>
      </xdr:nvPicPr>
      <xdr:blipFill>
        <a:blip r:embed="rId34"/>
        <a:stretch>
          <a:fillRect/>
        </a:stretch>
      </xdr:blipFill>
      <xdr:spPr>
        <a:xfrm>
          <a:off x="1924050" y="4463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38</xdr:row>
      <xdr:rowOff>18415</xdr:rowOff>
    </xdr:from>
    <xdr:to>
      <xdr:col>3</xdr:col>
      <xdr:colOff>1266825</xdr:colOff>
      <xdr:row>38</xdr:row>
      <xdr:rowOff>1256665</xdr:rowOff>
    </xdr:to>
    <xdr:pic>
      <xdr:nvPicPr>
        <xdr:cNvPr id="42" name="ID_E712CC1D55C845A5912C4E7B58BD04E3" descr="322-77 (2)"/>
        <xdr:cNvPicPr>
          <a:picLocks noChangeAspect="1"/>
        </xdr:cNvPicPr>
      </xdr:nvPicPr>
      <xdr:blipFill>
        <a:blip r:embed="rId35"/>
        <a:stretch>
          <a:fillRect/>
        </a:stretch>
      </xdr:blipFill>
      <xdr:spPr>
        <a:xfrm>
          <a:off x="1924050" y="4590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39</xdr:row>
      <xdr:rowOff>18415</xdr:rowOff>
    </xdr:from>
    <xdr:to>
      <xdr:col>3</xdr:col>
      <xdr:colOff>1266825</xdr:colOff>
      <xdr:row>39</xdr:row>
      <xdr:rowOff>1256665</xdr:rowOff>
    </xdr:to>
    <xdr:pic>
      <xdr:nvPicPr>
        <xdr:cNvPr id="43" name="ID_F3A88291554444AF952742E9B24D94EB" descr="322-78 (2)"/>
        <xdr:cNvPicPr>
          <a:picLocks noChangeAspect="1"/>
        </xdr:cNvPicPr>
      </xdr:nvPicPr>
      <xdr:blipFill>
        <a:blip r:embed="rId36"/>
        <a:stretch>
          <a:fillRect/>
        </a:stretch>
      </xdr:blipFill>
      <xdr:spPr>
        <a:xfrm>
          <a:off x="1924050" y="4717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40</xdr:row>
      <xdr:rowOff>18415</xdr:rowOff>
    </xdr:from>
    <xdr:to>
      <xdr:col>3</xdr:col>
      <xdr:colOff>1266825</xdr:colOff>
      <xdr:row>40</xdr:row>
      <xdr:rowOff>1256665</xdr:rowOff>
    </xdr:to>
    <xdr:pic>
      <xdr:nvPicPr>
        <xdr:cNvPr id="44" name="ID_C280C506C1334D1384D10F6D7BC97E4C" descr="322-79 (2)"/>
        <xdr:cNvPicPr>
          <a:picLocks noChangeAspect="1"/>
        </xdr:cNvPicPr>
      </xdr:nvPicPr>
      <xdr:blipFill>
        <a:blip r:embed="rId37"/>
        <a:stretch>
          <a:fillRect/>
        </a:stretch>
      </xdr:blipFill>
      <xdr:spPr>
        <a:xfrm>
          <a:off x="1924050" y="4844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41</xdr:row>
      <xdr:rowOff>18415</xdr:rowOff>
    </xdr:from>
    <xdr:to>
      <xdr:col>3</xdr:col>
      <xdr:colOff>1266825</xdr:colOff>
      <xdr:row>41</xdr:row>
      <xdr:rowOff>1256665</xdr:rowOff>
    </xdr:to>
    <xdr:pic>
      <xdr:nvPicPr>
        <xdr:cNvPr id="45" name="ID_061DC8E7C88A41BE89A714830DEB39D1" descr="322-80 (2)"/>
        <xdr:cNvPicPr>
          <a:picLocks noChangeAspect="1"/>
        </xdr:cNvPicPr>
      </xdr:nvPicPr>
      <xdr:blipFill>
        <a:blip r:embed="rId38"/>
        <a:stretch>
          <a:fillRect/>
        </a:stretch>
      </xdr:blipFill>
      <xdr:spPr>
        <a:xfrm>
          <a:off x="1924050" y="4971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42</xdr:row>
      <xdr:rowOff>18415</xdr:rowOff>
    </xdr:from>
    <xdr:to>
      <xdr:col>3</xdr:col>
      <xdr:colOff>1266825</xdr:colOff>
      <xdr:row>42</xdr:row>
      <xdr:rowOff>1256665</xdr:rowOff>
    </xdr:to>
    <xdr:pic>
      <xdr:nvPicPr>
        <xdr:cNvPr id="46" name="ID_E8D13FAB24C947949728D4DF334788B3" descr="322-81 (2)"/>
        <xdr:cNvPicPr>
          <a:picLocks noChangeAspect="1"/>
        </xdr:cNvPicPr>
      </xdr:nvPicPr>
      <xdr:blipFill>
        <a:blip r:embed="rId39"/>
        <a:stretch>
          <a:fillRect/>
        </a:stretch>
      </xdr:blipFill>
      <xdr:spPr>
        <a:xfrm>
          <a:off x="1924050" y="5098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43</xdr:row>
      <xdr:rowOff>18415</xdr:rowOff>
    </xdr:from>
    <xdr:to>
      <xdr:col>3</xdr:col>
      <xdr:colOff>1266825</xdr:colOff>
      <xdr:row>43</xdr:row>
      <xdr:rowOff>1256665</xdr:rowOff>
    </xdr:to>
    <xdr:pic>
      <xdr:nvPicPr>
        <xdr:cNvPr id="47" name="ID_137E3BBEF0924696BE59E059C7DB7870" descr="322-82 (2)"/>
        <xdr:cNvPicPr>
          <a:picLocks noChangeAspect="1"/>
        </xdr:cNvPicPr>
      </xdr:nvPicPr>
      <xdr:blipFill>
        <a:blip r:embed="rId40"/>
        <a:stretch>
          <a:fillRect/>
        </a:stretch>
      </xdr:blipFill>
      <xdr:spPr>
        <a:xfrm>
          <a:off x="1924050" y="5225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44</xdr:row>
      <xdr:rowOff>18415</xdr:rowOff>
    </xdr:from>
    <xdr:to>
      <xdr:col>3</xdr:col>
      <xdr:colOff>1266825</xdr:colOff>
      <xdr:row>44</xdr:row>
      <xdr:rowOff>1256665</xdr:rowOff>
    </xdr:to>
    <xdr:pic>
      <xdr:nvPicPr>
        <xdr:cNvPr id="48" name="ID_F84CBB1F0B404D569F49BCEBAAD9E9C1" descr="322-83 (2)"/>
        <xdr:cNvPicPr>
          <a:picLocks noChangeAspect="1"/>
        </xdr:cNvPicPr>
      </xdr:nvPicPr>
      <xdr:blipFill>
        <a:blip r:embed="rId41"/>
        <a:stretch>
          <a:fillRect/>
        </a:stretch>
      </xdr:blipFill>
      <xdr:spPr>
        <a:xfrm>
          <a:off x="1924050" y="5352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45</xdr:row>
      <xdr:rowOff>18415</xdr:rowOff>
    </xdr:from>
    <xdr:to>
      <xdr:col>3</xdr:col>
      <xdr:colOff>1266825</xdr:colOff>
      <xdr:row>45</xdr:row>
      <xdr:rowOff>1256665</xdr:rowOff>
    </xdr:to>
    <xdr:pic>
      <xdr:nvPicPr>
        <xdr:cNvPr id="49" name="ID_657A6E5C35B74F589C64C544017FF7A5" descr="322-84 (2)"/>
        <xdr:cNvPicPr>
          <a:picLocks noChangeAspect="1"/>
        </xdr:cNvPicPr>
      </xdr:nvPicPr>
      <xdr:blipFill>
        <a:blip r:embed="rId42"/>
        <a:stretch>
          <a:fillRect/>
        </a:stretch>
      </xdr:blipFill>
      <xdr:spPr>
        <a:xfrm>
          <a:off x="1924050" y="5479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46</xdr:row>
      <xdr:rowOff>18415</xdr:rowOff>
    </xdr:from>
    <xdr:to>
      <xdr:col>3</xdr:col>
      <xdr:colOff>1266825</xdr:colOff>
      <xdr:row>46</xdr:row>
      <xdr:rowOff>1256665</xdr:rowOff>
    </xdr:to>
    <xdr:pic>
      <xdr:nvPicPr>
        <xdr:cNvPr id="50" name="ID_545B22977E844F46A1078CFD5517522A" descr="322-16 (2)"/>
        <xdr:cNvPicPr>
          <a:picLocks noChangeAspect="1"/>
        </xdr:cNvPicPr>
      </xdr:nvPicPr>
      <xdr:blipFill>
        <a:blip r:embed="rId43"/>
        <a:stretch>
          <a:fillRect/>
        </a:stretch>
      </xdr:blipFill>
      <xdr:spPr>
        <a:xfrm>
          <a:off x="1924050" y="5606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47</xdr:row>
      <xdr:rowOff>18415</xdr:rowOff>
    </xdr:from>
    <xdr:to>
      <xdr:col>3</xdr:col>
      <xdr:colOff>1266825</xdr:colOff>
      <xdr:row>47</xdr:row>
      <xdr:rowOff>1256665</xdr:rowOff>
    </xdr:to>
    <xdr:pic>
      <xdr:nvPicPr>
        <xdr:cNvPr id="51" name="ID_8548EB897EFE4D70AA8B4D41ABA52E11" descr="322-17 (2)"/>
        <xdr:cNvPicPr>
          <a:picLocks noChangeAspect="1"/>
        </xdr:cNvPicPr>
      </xdr:nvPicPr>
      <xdr:blipFill>
        <a:blip r:embed="rId44"/>
        <a:stretch>
          <a:fillRect/>
        </a:stretch>
      </xdr:blipFill>
      <xdr:spPr>
        <a:xfrm>
          <a:off x="1924050" y="5733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48</xdr:row>
      <xdr:rowOff>18415</xdr:rowOff>
    </xdr:from>
    <xdr:to>
      <xdr:col>3</xdr:col>
      <xdr:colOff>1266825</xdr:colOff>
      <xdr:row>48</xdr:row>
      <xdr:rowOff>1256665</xdr:rowOff>
    </xdr:to>
    <xdr:pic>
      <xdr:nvPicPr>
        <xdr:cNvPr id="52" name="ID_C126DB113AAF4F3C9FFC0E3DF08D5B2F" descr="322-18 (2)"/>
        <xdr:cNvPicPr>
          <a:picLocks noChangeAspect="1"/>
        </xdr:cNvPicPr>
      </xdr:nvPicPr>
      <xdr:blipFill>
        <a:blip r:embed="rId45"/>
        <a:stretch>
          <a:fillRect/>
        </a:stretch>
      </xdr:blipFill>
      <xdr:spPr>
        <a:xfrm>
          <a:off x="1924050" y="5860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49</xdr:row>
      <xdr:rowOff>21590</xdr:rowOff>
    </xdr:from>
    <xdr:to>
      <xdr:col>3</xdr:col>
      <xdr:colOff>1266825</xdr:colOff>
      <xdr:row>49</xdr:row>
      <xdr:rowOff>1264285</xdr:rowOff>
    </xdr:to>
    <xdr:pic>
      <xdr:nvPicPr>
        <xdr:cNvPr id="53" name="ID_8A8F78038A77464084E1F850DC1F13D1" descr="322-19 (2)"/>
        <xdr:cNvPicPr>
          <a:picLocks noChangeAspect="1"/>
        </xdr:cNvPicPr>
      </xdr:nvPicPr>
      <xdr:blipFill>
        <a:blip r:embed="rId46"/>
        <a:stretch>
          <a:fillRect/>
        </a:stretch>
      </xdr:blipFill>
      <xdr:spPr>
        <a:xfrm>
          <a:off x="1924050" y="59876690"/>
          <a:ext cx="1247775" cy="124269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50</xdr:row>
      <xdr:rowOff>18415</xdr:rowOff>
    </xdr:from>
    <xdr:to>
      <xdr:col>3</xdr:col>
      <xdr:colOff>1266825</xdr:colOff>
      <xdr:row>50</xdr:row>
      <xdr:rowOff>1256665</xdr:rowOff>
    </xdr:to>
    <xdr:pic>
      <xdr:nvPicPr>
        <xdr:cNvPr id="54" name="ID_6DC63E631DFA4C289A8DFB170AB5DD80" descr="322-20 (2)"/>
        <xdr:cNvPicPr>
          <a:picLocks noChangeAspect="1"/>
        </xdr:cNvPicPr>
      </xdr:nvPicPr>
      <xdr:blipFill>
        <a:blip r:embed="rId47"/>
        <a:stretch>
          <a:fillRect/>
        </a:stretch>
      </xdr:blipFill>
      <xdr:spPr>
        <a:xfrm>
          <a:off x="1924050" y="6114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51</xdr:row>
      <xdr:rowOff>21590</xdr:rowOff>
    </xdr:from>
    <xdr:to>
      <xdr:col>3</xdr:col>
      <xdr:colOff>1266825</xdr:colOff>
      <xdr:row>51</xdr:row>
      <xdr:rowOff>1264285</xdr:rowOff>
    </xdr:to>
    <xdr:pic>
      <xdr:nvPicPr>
        <xdr:cNvPr id="55" name="ID_88EDEFB2A02A409FA10733392518B33D" descr="322-21 (2)"/>
        <xdr:cNvPicPr>
          <a:picLocks noChangeAspect="1"/>
        </xdr:cNvPicPr>
      </xdr:nvPicPr>
      <xdr:blipFill>
        <a:blip r:embed="rId48"/>
        <a:stretch>
          <a:fillRect/>
        </a:stretch>
      </xdr:blipFill>
      <xdr:spPr>
        <a:xfrm>
          <a:off x="1924050" y="62416690"/>
          <a:ext cx="1247775" cy="1242695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52</xdr:row>
      <xdr:rowOff>18415</xdr:rowOff>
    </xdr:from>
    <xdr:to>
      <xdr:col>3</xdr:col>
      <xdr:colOff>1266825</xdr:colOff>
      <xdr:row>52</xdr:row>
      <xdr:rowOff>1256665</xdr:rowOff>
    </xdr:to>
    <xdr:pic>
      <xdr:nvPicPr>
        <xdr:cNvPr id="56" name="ID_0C0AE5A79C2447B795A917A2B785C477" descr="322-22 (2)"/>
        <xdr:cNvPicPr>
          <a:picLocks noChangeAspect="1"/>
        </xdr:cNvPicPr>
      </xdr:nvPicPr>
      <xdr:blipFill>
        <a:blip r:embed="rId49"/>
        <a:stretch>
          <a:fillRect/>
        </a:stretch>
      </xdr:blipFill>
      <xdr:spPr>
        <a:xfrm>
          <a:off x="1924050" y="6368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53</xdr:row>
      <xdr:rowOff>18415</xdr:rowOff>
    </xdr:from>
    <xdr:to>
      <xdr:col>3</xdr:col>
      <xdr:colOff>1266825</xdr:colOff>
      <xdr:row>53</xdr:row>
      <xdr:rowOff>1256665</xdr:rowOff>
    </xdr:to>
    <xdr:pic>
      <xdr:nvPicPr>
        <xdr:cNvPr id="57" name="ID_590D8B1F1DEB44AEB4CED635D2A53AD6" descr="322-23 (2)"/>
        <xdr:cNvPicPr>
          <a:picLocks noChangeAspect="1"/>
        </xdr:cNvPicPr>
      </xdr:nvPicPr>
      <xdr:blipFill>
        <a:blip r:embed="rId50"/>
        <a:stretch>
          <a:fillRect/>
        </a:stretch>
      </xdr:blipFill>
      <xdr:spPr>
        <a:xfrm>
          <a:off x="1924050" y="6495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54</xdr:row>
      <xdr:rowOff>18415</xdr:rowOff>
    </xdr:from>
    <xdr:to>
      <xdr:col>3</xdr:col>
      <xdr:colOff>1266825</xdr:colOff>
      <xdr:row>54</xdr:row>
      <xdr:rowOff>1256665</xdr:rowOff>
    </xdr:to>
    <xdr:pic>
      <xdr:nvPicPr>
        <xdr:cNvPr id="58" name="ID_1C0F97517C7F4A55A32B15F13160B9B7" descr="322-24 (2)"/>
        <xdr:cNvPicPr>
          <a:picLocks noChangeAspect="1"/>
        </xdr:cNvPicPr>
      </xdr:nvPicPr>
      <xdr:blipFill>
        <a:blip r:embed="rId51"/>
        <a:stretch>
          <a:fillRect/>
        </a:stretch>
      </xdr:blipFill>
      <xdr:spPr>
        <a:xfrm>
          <a:off x="1924050" y="6622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55</xdr:row>
      <xdr:rowOff>18415</xdr:rowOff>
    </xdr:from>
    <xdr:to>
      <xdr:col>3</xdr:col>
      <xdr:colOff>1266825</xdr:colOff>
      <xdr:row>55</xdr:row>
      <xdr:rowOff>1256665</xdr:rowOff>
    </xdr:to>
    <xdr:pic>
      <xdr:nvPicPr>
        <xdr:cNvPr id="59" name="ID_DAE6A9DADFE04666B7861C5C5006F76F" descr="322-25 (2)"/>
        <xdr:cNvPicPr>
          <a:picLocks noChangeAspect="1"/>
        </xdr:cNvPicPr>
      </xdr:nvPicPr>
      <xdr:blipFill>
        <a:blip r:embed="rId52"/>
        <a:stretch>
          <a:fillRect/>
        </a:stretch>
      </xdr:blipFill>
      <xdr:spPr>
        <a:xfrm>
          <a:off x="1924050" y="6749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56</xdr:row>
      <xdr:rowOff>18415</xdr:rowOff>
    </xdr:from>
    <xdr:to>
      <xdr:col>3</xdr:col>
      <xdr:colOff>1266825</xdr:colOff>
      <xdr:row>56</xdr:row>
      <xdr:rowOff>1256665</xdr:rowOff>
    </xdr:to>
    <xdr:pic>
      <xdr:nvPicPr>
        <xdr:cNvPr id="60" name="ID_F4944FEA069844A7B8CDC584C0A8F72E" descr="322-26 (2)"/>
        <xdr:cNvPicPr>
          <a:picLocks noChangeAspect="1"/>
        </xdr:cNvPicPr>
      </xdr:nvPicPr>
      <xdr:blipFill>
        <a:blip r:embed="rId53"/>
        <a:stretch>
          <a:fillRect/>
        </a:stretch>
      </xdr:blipFill>
      <xdr:spPr>
        <a:xfrm>
          <a:off x="1924050" y="6876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57</xdr:row>
      <xdr:rowOff>18415</xdr:rowOff>
    </xdr:from>
    <xdr:to>
      <xdr:col>3</xdr:col>
      <xdr:colOff>1266825</xdr:colOff>
      <xdr:row>57</xdr:row>
      <xdr:rowOff>1256665</xdr:rowOff>
    </xdr:to>
    <xdr:pic>
      <xdr:nvPicPr>
        <xdr:cNvPr id="61" name="ID_027938B9AC004907AC9EAE270F34F2D3" descr="322-27 (2)"/>
        <xdr:cNvPicPr>
          <a:picLocks noChangeAspect="1"/>
        </xdr:cNvPicPr>
      </xdr:nvPicPr>
      <xdr:blipFill>
        <a:blip r:embed="rId54"/>
        <a:stretch>
          <a:fillRect/>
        </a:stretch>
      </xdr:blipFill>
      <xdr:spPr>
        <a:xfrm>
          <a:off x="1924050" y="7003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58</xdr:row>
      <xdr:rowOff>18415</xdr:rowOff>
    </xdr:from>
    <xdr:to>
      <xdr:col>3</xdr:col>
      <xdr:colOff>1266825</xdr:colOff>
      <xdr:row>58</xdr:row>
      <xdr:rowOff>1256665</xdr:rowOff>
    </xdr:to>
    <xdr:pic>
      <xdr:nvPicPr>
        <xdr:cNvPr id="62" name="ID_B1305BDEE9664F2C94A26C69671509EE" descr="322-28 (2)"/>
        <xdr:cNvPicPr>
          <a:picLocks noChangeAspect="1"/>
        </xdr:cNvPicPr>
      </xdr:nvPicPr>
      <xdr:blipFill>
        <a:blip r:embed="rId55"/>
        <a:stretch>
          <a:fillRect/>
        </a:stretch>
      </xdr:blipFill>
      <xdr:spPr>
        <a:xfrm>
          <a:off x="1924050" y="7130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59</xdr:row>
      <xdr:rowOff>18415</xdr:rowOff>
    </xdr:from>
    <xdr:to>
      <xdr:col>3</xdr:col>
      <xdr:colOff>1266825</xdr:colOff>
      <xdr:row>59</xdr:row>
      <xdr:rowOff>1256665</xdr:rowOff>
    </xdr:to>
    <xdr:pic>
      <xdr:nvPicPr>
        <xdr:cNvPr id="63" name="ID_B279CB3765B14D93B5CF1ED4253BECF3" descr="322-29 (2)"/>
        <xdr:cNvPicPr>
          <a:picLocks noChangeAspect="1"/>
        </xdr:cNvPicPr>
      </xdr:nvPicPr>
      <xdr:blipFill>
        <a:blip r:embed="rId56"/>
        <a:stretch>
          <a:fillRect/>
        </a:stretch>
      </xdr:blipFill>
      <xdr:spPr>
        <a:xfrm>
          <a:off x="1924050" y="7257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60</xdr:row>
      <xdr:rowOff>18415</xdr:rowOff>
    </xdr:from>
    <xdr:to>
      <xdr:col>3</xdr:col>
      <xdr:colOff>1266825</xdr:colOff>
      <xdr:row>60</xdr:row>
      <xdr:rowOff>1256665</xdr:rowOff>
    </xdr:to>
    <xdr:pic>
      <xdr:nvPicPr>
        <xdr:cNvPr id="64" name="ID_691206000FF6452C8F30EFFAE9E7316B" descr="322-30 (2)"/>
        <xdr:cNvPicPr>
          <a:picLocks noChangeAspect="1"/>
        </xdr:cNvPicPr>
      </xdr:nvPicPr>
      <xdr:blipFill>
        <a:blip r:embed="rId57"/>
        <a:stretch>
          <a:fillRect/>
        </a:stretch>
      </xdr:blipFill>
      <xdr:spPr>
        <a:xfrm>
          <a:off x="1924050" y="7384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61</xdr:row>
      <xdr:rowOff>18415</xdr:rowOff>
    </xdr:from>
    <xdr:to>
      <xdr:col>3</xdr:col>
      <xdr:colOff>1266825</xdr:colOff>
      <xdr:row>61</xdr:row>
      <xdr:rowOff>1256665</xdr:rowOff>
    </xdr:to>
    <xdr:pic>
      <xdr:nvPicPr>
        <xdr:cNvPr id="65" name="ID_73D83C44F16346719EAE6D7B6C27D814" descr="322-31 (2)"/>
        <xdr:cNvPicPr>
          <a:picLocks noChangeAspect="1"/>
        </xdr:cNvPicPr>
      </xdr:nvPicPr>
      <xdr:blipFill>
        <a:blip r:embed="rId58"/>
        <a:stretch>
          <a:fillRect/>
        </a:stretch>
      </xdr:blipFill>
      <xdr:spPr>
        <a:xfrm>
          <a:off x="1924050" y="7511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62</xdr:row>
      <xdr:rowOff>18415</xdr:rowOff>
    </xdr:from>
    <xdr:to>
      <xdr:col>3</xdr:col>
      <xdr:colOff>1266825</xdr:colOff>
      <xdr:row>62</xdr:row>
      <xdr:rowOff>1256665</xdr:rowOff>
    </xdr:to>
    <xdr:pic>
      <xdr:nvPicPr>
        <xdr:cNvPr id="66" name="ID_4300A056370A455B958C670C7ED43A58" descr="322-32 (2)"/>
        <xdr:cNvPicPr>
          <a:picLocks noChangeAspect="1"/>
        </xdr:cNvPicPr>
      </xdr:nvPicPr>
      <xdr:blipFill>
        <a:blip r:embed="rId59"/>
        <a:stretch>
          <a:fillRect/>
        </a:stretch>
      </xdr:blipFill>
      <xdr:spPr>
        <a:xfrm>
          <a:off x="1924050" y="7638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63</xdr:row>
      <xdr:rowOff>18415</xdr:rowOff>
    </xdr:from>
    <xdr:to>
      <xdr:col>3</xdr:col>
      <xdr:colOff>1266825</xdr:colOff>
      <xdr:row>63</xdr:row>
      <xdr:rowOff>1256665</xdr:rowOff>
    </xdr:to>
    <xdr:pic>
      <xdr:nvPicPr>
        <xdr:cNvPr id="67" name="ID_0653BE248C5C413C883B0C2806EE9CDE" descr="322-33 (2)"/>
        <xdr:cNvPicPr>
          <a:picLocks noChangeAspect="1"/>
        </xdr:cNvPicPr>
      </xdr:nvPicPr>
      <xdr:blipFill>
        <a:blip r:embed="rId60"/>
        <a:stretch>
          <a:fillRect/>
        </a:stretch>
      </xdr:blipFill>
      <xdr:spPr>
        <a:xfrm>
          <a:off x="1924050" y="7765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64</xdr:row>
      <xdr:rowOff>18415</xdr:rowOff>
    </xdr:from>
    <xdr:to>
      <xdr:col>3</xdr:col>
      <xdr:colOff>1266825</xdr:colOff>
      <xdr:row>64</xdr:row>
      <xdr:rowOff>1256665</xdr:rowOff>
    </xdr:to>
    <xdr:pic>
      <xdr:nvPicPr>
        <xdr:cNvPr id="68" name="ID_A3B2DC63D5124CC0A40B63355B0C0F6E" descr="322-34 (2)"/>
        <xdr:cNvPicPr>
          <a:picLocks noChangeAspect="1"/>
        </xdr:cNvPicPr>
      </xdr:nvPicPr>
      <xdr:blipFill>
        <a:blip r:embed="rId61"/>
        <a:stretch>
          <a:fillRect/>
        </a:stretch>
      </xdr:blipFill>
      <xdr:spPr>
        <a:xfrm>
          <a:off x="1924050" y="7892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65</xdr:row>
      <xdr:rowOff>18415</xdr:rowOff>
    </xdr:from>
    <xdr:to>
      <xdr:col>3</xdr:col>
      <xdr:colOff>1266825</xdr:colOff>
      <xdr:row>65</xdr:row>
      <xdr:rowOff>1256665</xdr:rowOff>
    </xdr:to>
    <xdr:pic>
      <xdr:nvPicPr>
        <xdr:cNvPr id="69" name="ID_45743DBAEAA247DE87BC2248B26647D6" descr="322-35 (2)"/>
        <xdr:cNvPicPr>
          <a:picLocks noChangeAspect="1"/>
        </xdr:cNvPicPr>
      </xdr:nvPicPr>
      <xdr:blipFill>
        <a:blip r:embed="rId62"/>
        <a:stretch>
          <a:fillRect/>
        </a:stretch>
      </xdr:blipFill>
      <xdr:spPr>
        <a:xfrm>
          <a:off x="1924050" y="8019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66</xdr:row>
      <xdr:rowOff>18415</xdr:rowOff>
    </xdr:from>
    <xdr:to>
      <xdr:col>3</xdr:col>
      <xdr:colOff>1266825</xdr:colOff>
      <xdr:row>66</xdr:row>
      <xdr:rowOff>1256665</xdr:rowOff>
    </xdr:to>
    <xdr:pic>
      <xdr:nvPicPr>
        <xdr:cNvPr id="70" name="ID_FDA8E6721E8C48F981E05ACD04696679" descr="322-36 (2)"/>
        <xdr:cNvPicPr>
          <a:picLocks noChangeAspect="1"/>
        </xdr:cNvPicPr>
      </xdr:nvPicPr>
      <xdr:blipFill>
        <a:blip r:embed="rId63"/>
        <a:stretch>
          <a:fillRect/>
        </a:stretch>
      </xdr:blipFill>
      <xdr:spPr>
        <a:xfrm>
          <a:off x="1924050" y="8146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67</xdr:row>
      <xdr:rowOff>18415</xdr:rowOff>
    </xdr:from>
    <xdr:to>
      <xdr:col>3</xdr:col>
      <xdr:colOff>1266825</xdr:colOff>
      <xdr:row>67</xdr:row>
      <xdr:rowOff>1256665</xdr:rowOff>
    </xdr:to>
    <xdr:pic>
      <xdr:nvPicPr>
        <xdr:cNvPr id="71" name="ID_53826A7401D44C3686AAB7A4DA44531F" descr="322-37 (2)"/>
        <xdr:cNvPicPr>
          <a:picLocks noChangeAspect="1"/>
        </xdr:cNvPicPr>
      </xdr:nvPicPr>
      <xdr:blipFill>
        <a:blip r:embed="rId64"/>
        <a:stretch>
          <a:fillRect/>
        </a:stretch>
      </xdr:blipFill>
      <xdr:spPr>
        <a:xfrm>
          <a:off x="1924050" y="8273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68</xdr:row>
      <xdr:rowOff>18415</xdr:rowOff>
    </xdr:from>
    <xdr:to>
      <xdr:col>3</xdr:col>
      <xdr:colOff>1266825</xdr:colOff>
      <xdr:row>68</xdr:row>
      <xdr:rowOff>1256665</xdr:rowOff>
    </xdr:to>
    <xdr:pic>
      <xdr:nvPicPr>
        <xdr:cNvPr id="72" name="ID_0358088E26514FC2824D72C78F85A0A0" descr="322-38 (2)"/>
        <xdr:cNvPicPr>
          <a:picLocks noChangeAspect="1"/>
        </xdr:cNvPicPr>
      </xdr:nvPicPr>
      <xdr:blipFill>
        <a:blip r:embed="rId65"/>
        <a:stretch>
          <a:fillRect/>
        </a:stretch>
      </xdr:blipFill>
      <xdr:spPr>
        <a:xfrm>
          <a:off x="1924050" y="8400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69</xdr:row>
      <xdr:rowOff>18415</xdr:rowOff>
    </xdr:from>
    <xdr:to>
      <xdr:col>3</xdr:col>
      <xdr:colOff>1266825</xdr:colOff>
      <xdr:row>69</xdr:row>
      <xdr:rowOff>1256665</xdr:rowOff>
    </xdr:to>
    <xdr:pic>
      <xdr:nvPicPr>
        <xdr:cNvPr id="73" name="ID_A0261231850C48F1BB2ADB8DA4D027C2" descr="322-39 (2)"/>
        <xdr:cNvPicPr>
          <a:picLocks noChangeAspect="1"/>
        </xdr:cNvPicPr>
      </xdr:nvPicPr>
      <xdr:blipFill>
        <a:blip r:embed="rId66"/>
        <a:stretch>
          <a:fillRect/>
        </a:stretch>
      </xdr:blipFill>
      <xdr:spPr>
        <a:xfrm>
          <a:off x="1924050" y="8527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70</xdr:row>
      <xdr:rowOff>18415</xdr:rowOff>
    </xdr:from>
    <xdr:to>
      <xdr:col>3</xdr:col>
      <xdr:colOff>1266825</xdr:colOff>
      <xdr:row>70</xdr:row>
      <xdr:rowOff>1256665</xdr:rowOff>
    </xdr:to>
    <xdr:pic>
      <xdr:nvPicPr>
        <xdr:cNvPr id="74" name="ID_75CC751D8CC140D39017F99AA04DB614" descr="322-40 (2)"/>
        <xdr:cNvPicPr>
          <a:picLocks noChangeAspect="1"/>
        </xdr:cNvPicPr>
      </xdr:nvPicPr>
      <xdr:blipFill>
        <a:blip r:embed="rId67"/>
        <a:stretch>
          <a:fillRect/>
        </a:stretch>
      </xdr:blipFill>
      <xdr:spPr>
        <a:xfrm>
          <a:off x="1924050" y="8654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71</xdr:row>
      <xdr:rowOff>18415</xdr:rowOff>
    </xdr:from>
    <xdr:to>
      <xdr:col>3</xdr:col>
      <xdr:colOff>1266825</xdr:colOff>
      <xdr:row>71</xdr:row>
      <xdr:rowOff>1256665</xdr:rowOff>
    </xdr:to>
    <xdr:pic>
      <xdr:nvPicPr>
        <xdr:cNvPr id="75" name="ID_0167076B872A411D892E1877B7958CAB" descr="322-41 (2)"/>
        <xdr:cNvPicPr>
          <a:picLocks noChangeAspect="1"/>
        </xdr:cNvPicPr>
      </xdr:nvPicPr>
      <xdr:blipFill>
        <a:blip r:embed="rId68"/>
        <a:stretch>
          <a:fillRect/>
        </a:stretch>
      </xdr:blipFill>
      <xdr:spPr>
        <a:xfrm>
          <a:off x="1924050" y="8781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72</xdr:row>
      <xdr:rowOff>18415</xdr:rowOff>
    </xdr:from>
    <xdr:to>
      <xdr:col>3</xdr:col>
      <xdr:colOff>1266825</xdr:colOff>
      <xdr:row>72</xdr:row>
      <xdr:rowOff>1256665</xdr:rowOff>
    </xdr:to>
    <xdr:pic>
      <xdr:nvPicPr>
        <xdr:cNvPr id="76" name="ID_32A38C20A6AB4ABCB8BB4B8A68F0E81D" descr="322-42 (2)"/>
        <xdr:cNvPicPr>
          <a:picLocks noChangeAspect="1"/>
        </xdr:cNvPicPr>
      </xdr:nvPicPr>
      <xdr:blipFill>
        <a:blip r:embed="rId69"/>
        <a:stretch>
          <a:fillRect/>
        </a:stretch>
      </xdr:blipFill>
      <xdr:spPr>
        <a:xfrm>
          <a:off x="1924050" y="8908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73</xdr:row>
      <xdr:rowOff>18415</xdr:rowOff>
    </xdr:from>
    <xdr:to>
      <xdr:col>3</xdr:col>
      <xdr:colOff>1266825</xdr:colOff>
      <xdr:row>73</xdr:row>
      <xdr:rowOff>1256665</xdr:rowOff>
    </xdr:to>
    <xdr:pic>
      <xdr:nvPicPr>
        <xdr:cNvPr id="77" name="ID_842220CB2B904A559CE77E627C24F3B4" descr="308-12 (2)"/>
        <xdr:cNvPicPr>
          <a:picLocks noChangeAspect="1"/>
        </xdr:cNvPicPr>
      </xdr:nvPicPr>
      <xdr:blipFill>
        <a:blip r:embed="rId70"/>
        <a:stretch>
          <a:fillRect/>
        </a:stretch>
      </xdr:blipFill>
      <xdr:spPr>
        <a:xfrm>
          <a:off x="1924050" y="9035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74</xdr:row>
      <xdr:rowOff>18415</xdr:rowOff>
    </xdr:from>
    <xdr:to>
      <xdr:col>3</xdr:col>
      <xdr:colOff>1266825</xdr:colOff>
      <xdr:row>74</xdr:row>
      <xdr:rowOff>1256665</xdr:rowOff>
    </xdr:to>
    <xdr:pic>
      <xdr:nvPicPr>
        <xdr:cNvPr id="78" name="ID_0BF91CE13A764EDBA7D2813257067D76" descr="322-44 (2)"/>
        <xdr:cNvPicPr>
          <a:picLocks noChangeAspect="1"/>
        </xdr:cNvPicPr>
      </xdr:nvPicPr>
      <xdr:blipFill>
        <a:blip r:embed="rId71"/>
        <a:stretch>
          <a:fillRect/>
        </a:stretch>
      </xdr:blipFill>
      <xdr:spPr>
        <a:xfrm>
          <a:off x="1924050" y="9162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76</xdr:row>
      <xdr:rowOff>18415</xdr:rowOff>
    </xdr:from>
    <xdr:to>
      <xdr:col>3</xdr:col>
      <xdr:colOff>1266825</xdr:colOff>
      <xdr:row>76</xdr:row>
      <xdr:rowOff>1256665</xdr:rowOff>
    </xdr:to>
    <xdr:pic>
      <xdr:nvPicPr>
        <xdr:cNvPr id="79" name="ID_D3B45F9F361A42F996205879334F6697" descr="202-41 (2)"/>
        <xdr:cNvPicPr>
          <a:picLocks noChangeAspect="1"/>
        </xdr:cNvPicPr>
      </xdr:nvPicPr>
      <xdr:blipFill>
        <a:blip r:embed="rId72"/>
        <a:stretch>
          <a:fillRect/>
        </a:stretch>
      </xdr:blipFill>
      <xdr:spPr>
        <a:xfrm>
          <a:off x="1924050" y="9416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77</xdr:row>
      <xdr:rowOff>18415</xdr:rowOff>
    </xdr:from>
    <xdr:to>
      <xdr:col>3</xdr:col>
      <xdr:colOff>1266825</xdr:colOff>
      <xdr:row>77</xdr:row>
      <xdr:rowOff>1256665</xdr:rowOff>
    </xdr:to>
    <xdr:pic>
      <xdr:nvPicPr>
        <xdr:cNvPr id="80" name="ID_2612073C7F464FA4B9ECC2E0D32CF16B" descr="202-43 (2)"/>
        <xdr:cNvPicPr>
          <a:picLocks noChangeAspect="1"/>
        </xdr:cNvPicPr>
      </xdr:nvPicPr>
      <xdr:blipFill>
        <a:blip r:embed="rId73"/>
        <a:stretch>
          <a:fillRect/>
        </a:stretch>
      </xdr:blipFill>
      <xdr:spPr>
        <a:xfrm>
          <a:off x="1924050" y="9543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78</xdr:row>
      <xdr:rowOff>18415</xdr:rowOff>
    </xdr:from>
    <xdr:to>
      <xdr:col>3</xdr:col>
      <xdr:colOff>1266825</xdr:colOff>
      <xdr:row>78</xdr:row>
      <xdr:rowOff>1256665</xdr:rowOff>
    </xdr:to>
    <xdr:pic>
      <xdr:nvPicPr>
        <xdr:cNvPr id="81" name="ID_EE1C963288F3410F82508E8C1D5CE397" descr="202-44 (2)"/>
        <xdr:cNvPicPr>
          <a:picLocks noChangeAspect="1"/>
        </xdr:cNvPicPr>
      </xdr:nvPicPr>
      <xdr:blipFill>
        <a:blip r:embed="rId74"/>
        <a:stretch>
          <a:fillRect/>
        </a:stretch>
      </xdr:blipFill>
      <xdr:spPr>
        <a:xfrm>
          <a:off x="1924050" y="9670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85</xdr:row>
      <xdr:rowOff>18415</xdr:rowOff>
    </xdr:from>
    <xdr:to>
      <xdr:col>3</xdr:col>
      <xdr:colOff>1266825</xdr:colOff>
      <xdr:row>85</xdr:row>
      <xdr:rowOff>1256665</xdr:rowOff>
    </xdr:to>
    <xdr:pic>
      <xdr:nvPicPr>
        <xdr:cNvPr id="82" name="ID_6797D3052BD840959B3443BC34049B6F" descr="217-12 (2)"/>
        <xdr:cNvPicPr>
          <a:picLocks noChangeAspect="1"/>
        </xdr:cNvPicPr>
      </xdr:nvPicPr>
      <xdr:blipFill>
        <a:blip r:embed="rId75"/>
        <a:stretch>
          <a:fillRect/>
        </a:stretch>
      </xdr:blipFill>
      <xdr:spPr>
        <a:xfrm>
          <a:off x="1924050" y="10559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86</xdr:row>
      <xdr:rowOff>18415</xdr:rowOff>
    </xdr:from>
    <xdr:to>
      <xdr:col>3</xdr:col>
      <xdr:colOff>1266825</xdr:colOff>
      <xdr:row>86</xdr:row>
      <xdr:rowOff>1256665</xdr:rowOff>
    </xdr:to>
    <xdr:pic>
      <xdr:nvPicPr>
        <xdr:cNvPr id="83" name="ID_56CC3DCB5C6446578E8EE7AB68FBD132" descr="217-15 (2)"/>
        <xdr:cNvPicPr>
          <a:picLocks noChangeAspect="1"/>
        </xdr:cNvPicPr>
      </xdr:nvPicPr>
      <xdr:blipFill>
        <a:blip r:embed="rId76"/>
        <a:stretch>
          <a:fillRect/>
        </a:stretch>
      </xdr:blipFill>
      <xdr:spPr>
        <a:xfrm>
          <a:off x="1924050" y="10686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88</xdr:row>
      <xdr:rowOff>18415</xdr:rowOff>
    </xdr:from>
    <xdr:to>
      <xdr:col>3</xdr:col>
      <xdr:colOff>1266825</xdr:colOff>
      <xdr:row>88</xdr:row>
      <xdr:rowOff>1256665</xdr:rowOff>
    </xdr:to>
    <xdr:pic>
      <xdr:nvPicPr>
        <xdr:cNvPr id="84" name="ID_05F443A31DAE49658D21434F248DD05D" descr="217-17 (2)"/>
        <xdr:cNvPicPr>
          <a:picLocks noChangeAspect="1"/>
        </xdr:cNvPicPr>
      </xdr:nvPicPr>
      <xdr:blipFill>
        <a:blip r:embed="rId77"/>
        <a:stretch>
          <a:fillRect/>
        </a:stretch>
      </xdr:blipFill>
      <xdr:spPr>
        <a:xfrm>
          <a:off x="1924050" y="10940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89</xdr:row>
      <xdr:rowOff>18415</xdr:rowOff>
    </xdr:from>
    <xdr:to>
      <xdr:col>3</xdr:col>
      <xdr:colOff>1266825</xdr:colOff>
      <xdr:row>89</xdr:row>
      <xdr:rowOff>1256665</xdr:rowOff>
    </xdr:to>
    <xdr:pic>
      <xdr:nvPicPr>
        <xdr:cNvPr id="85" name="ID_0F5F61ADDF9F4F4DA96D4F0FD757F100" descr="218-32 (2)"/>
        <xdr:cNvPicPr>
          <a:picLocks noChangeAspect="1"/>
        </xdr:cNvPicPr>
      </xdr:nvPicPr>
      <xdr:blipFill>
        <a:blip r:embed="rId78"/>
        <a:stretch>
          <a:fillRect/>
        </a:stretch>
      </xdr:blipFill>
      <xdr:spPr>
        <a:xfrm>
          <a:off x="1924050" y="11067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90</xdr:row>
      <xdr:rowOff>18415</xdr:rowOff>
    </xdr:from>
    <xdr:to>
      <xdr:col>3</xdr:col>
      <xdr:colOff>1266825</xdr:colOff>
      <xdr:row>90</xdr:row>
      <xdr:rowOff>1256665</xdr:rowOff>
    </xdr:to>
    <xdr:pic>
      <xdr:nvPicPr>
        <xdr:cNvPr id="86" name="ID_865A7B05BC184E84BBCDC1D3B261760A" descr="218-33 (2)"/>
        <xdr:cNvPicPr>
          <a:picLocks noChangeAspect="1"/>
        </xdr:cNvPicPr>
      </xdr:nvPicPr>
      <xdr:blipFill>
        <a:blip r:embed="rId79"/>
        <a:stretch>
          <a:fillRect/>
        </a:stretch>
      </xdr:blipFill>
      <xdr:spPr>
        <a:xfrm>
          <a:off x="1924050" y="11194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91</xdr:row>
      <xdr:rowOff>18415</xdr:rowOff>
    </xdr:from>
    <xdr:to>
      <xdr:col>3</xdr:col>
      <xdr:colOff>1266825</xdr:colOff>
      <xdr:row>91</xdr:row>
      <xdr:rowOff>1256665</xdr:rowOff>
    </xdr:to>
    <xdr:pic>
      <xdr:nvPicPr>
        <xdr:cNvPr id="87" name="ID_3AE761CDB05E4261819C3398D817AF69" descr="232-30 (2)"/>
        <xdr:cNvPicPr>
          <a:picLocks noChangeAspect="1"/>
        </xdr:cNvPicPr>
      </xdr:nvPicPr>
      <xdr:blipFill>
        <a:blip r:embed="rId80"/>
        <a:stretch>
          <a:fillRect/>
        </a:stretch>
      </xdr:blipFill>
      <xdr:spPr>
        <a:xfrm>
          <a:off x="1924050" y="11321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92</xdr:row>
      <xdr:rowOff>18415</xdr:rowOff>
    </xdr:from>
    <xdr:to>
      <xdr:col>3</xdr:col>
      <xdr:colOff>1266825</xdr:colOff>
      <xdr:row>92</xdr:row>
      <xdr:rowOff>1256665</xdr:rowOff>
    </xdr:to>
    <xdr:pic>
      <xdr:nvPicPr>
        <xdr:cNvPr id="88" name="ID_D127DF27A02D4022B4A647BE8AD9B83F" descr="250-2 (2)"/>
        <xdr:cNvPicPr>
          <a:picLocks noChangeAspect="1"/>
        </xdr:cNvPicPr>
      </xdr:nvPicPr>
      <xdr:blipFill>
        <a:blip r:embed="rId81"/>
        <a:stretch>
          <a:fillRect/>
        </a:stretch>
      </xdr:blipFill>
      <xdr:spPr>
        <a:xfrm>
          <a:off x="1924050" y="11448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96</xdr:row>
      <xdr:rowOff>18415</xdr:rowOff>
    </xdr:from>
    <xdr:to>
      <xdr:col>3</xdr:col>
      <xdr:colOff>1266825</xdr:colOff>
      <xdr:row>96</xdr:row>
      <xdr:rowOff>1256665</xdr:rowOff>
    </xdr:to>
    <xdr:pic>
      <xdr:nvPicPr>
        <xdr:cNvPr id="89" name="ID_A101A05AE6F9477AA19CFAE7DAD5AB5A" descr="252-10 (2)"/>
        <xdr:cNvPicPr>
          <a:picLocks noChangeAspect="1"/>
        </xdr:cNvPicPr>
      </xdr:nvPicPr>
      <xdr:blipFill>
        <a:blip r:embed="rId82"/>
        <a:stretch>
          <a:fillRect/>
        </a:stretch>
      </xdr:blipFill>
      <xdr:spPr>
        <a:xfrm>
          <a:off x="1924050" y="11956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97</xdr:row>
      <xdr:rowOff>18415</xdr:rowOff>
    </xdr:from>
    <xdr:to>
      <xdr:col>3</xdr:col>
      <xdr:colOff>1266825</xdr:colOff>
      <xdr:row>97</xdr:row>
      <xdr:rowOff>1256665</xdr:rowOff>
    </xdr:to>
    <xdr:pic>
      <xdr:nvPicPr>
        <xdr:cNvPr id="90" name="ID_C48E1D1062D24AC3B15AF0EB7D227186" descr="322-85 (2)"/>
        <xdr:cNvPicPr>
          <a:picLocks noChangeAspect="1"/>
        </xdr:cNvPicPr>
      </xdr:nvPicPr>
      <xdr:blipFill>
        <a:blip r:embed="rId83"/>
        <a:stretch>
          <a:fillRect/>
        </a:stretch>
      </xdr:blipFill>
      <xdr:spPr>
        <a:xfrm>
          <a:off x="1924050" y="12083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98</xdr:row>
      <xdr:rowOff>18415</xdr:rowOff>
    </xdr:from>
    <xdr:to>
      <xdr:col>3</xdr:col>
      <xdr:colOff>1266825</xdr:colOff>
      <xdr:row>98</xdr:row>
      <xdr:rowOff>1256665</xdr:rowOff>
    </xdr:to>
    <xdr:pic>
      <xdr:nvPicPr>
        <xdr:cNvPr id="91" name="ID_5AD0C050433F429EB1147ADAA16785E0" descr="322-86 (2)"/>
        <xdr:cNvPicPr>
          <a:picLocks noChangeAspect="1"/>
        </xdr:cNvPicPr>
      </xdr:nvPicPr>
      <xdr:blipFill>
        <a:blip r:embed="rId84"/>
        <a:stretch>
          <a:fillRect/>
        </a:stretch>
      </xdr:blipFill>
      <xdr:spPr>
        <a:xfrm>
          <a:off x="1924050" y="12210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99</xdr:row>
      <xdr:rowOff>18415</xdr:rowOff>
    </xdr:from>
    <xdr:to>
      <xdr:col>3</xdr:col>
      <xdr:colOff>1266825</xdr:colOff>
      <xdr:row>99</xdr:row>
      <xdr:rowOff>1256665</xdr:rowOff>
    </xdr:to>
    <xdr:pic>
      <xdr:nvPicPr>
        <xdr:cNvPr id="92" name="ID_767B6882CDAF452F9D98C84C348427F9" descr="322-87 (2)"/>
        <xdr:cNvPicPr>
          <a:picLocks noChangeAspect="1"/>
        </xdr:cNvPicPr>
      </xdr:nvPicPr>
      <xdr:blipFill>
        <a:blip r:embed="rId85"/>
        <a:stretch>
          <a:fillRect/>
        </a:stretch>
      </xdr:blipFill>
      <xdr:spPr>
        <a:xfrm>
          <a:off x="1924050" y="12337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100</xdr:row>
      <xdr:rowOff>18415</xdr:rowOff>
    </xdr:from>
    <xdr:to>
      <xdr:col>3</xdr:col>
      <xdr:colOff>1266825</xdr:colOff>
      <xdr:row>100</xdr:row>
      <xdr:rowOff>1256665</xdr:rowOff>
    </xdr:to>
    <xdr:pic>
      <xdr:nvPicPr>
        <xdr:cNvPr id="93" name="ID_A36F3E036A6D4ADA8795927DACE342DB" descr="322-88 (2)"/>
        <xdr:cNvPicPr>
          <a:picLocks noChangeAspect="1"/>
        </xdr:cNvPicPr>
      </xdr:nvPicPr>
      <xdr:blipFill>
        <a:blip r:embed="rId86"/>
        <a:stretch>
          <a:fillRect/>
        </a:stretch>
      </xdr:blipFill>
      <xdr:spPr>
        <a:xfrm>
          <a:off x="1924050" y="12464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101</xdr:row>
      <xdr:rowOff>18415</xdr:rowOff>
    </xdr:from>
    <xdr:to>
      <xdr:col>3</xdr:col>
      <xdr:colOff>1266825</xdr:colOff>
      <xdr:row>101</xdr:row>
      <xdr:rowOff>1256665</xdr:rowOff>
    </xdr:to>
    <xdr:pic>
      <xdr:nvPicPr>
        <xdr:cNvPr id="94" name="ID_540B189DBFB249809568C3DE723378A9" descr="322-89 (2)"/>
        <xdr:cNvPicPr>
          <a:picLocks noChangeAspect="1"/>
        </xdr:cNvPicPr>
      </xdr:nvPicPr>
      <xdr:blipFill>
        <a:blip r:embed="rId87"/>
        <a:stretch>
          <a:fillRect/>
        </a:stretch>
      </xdr:blipFill>
      <xdr:spPr>
        <a:xfrm>
          <a:off x="1924050" y="12591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102</xdr:row>
      <xdr:rowOff>18415</xdr:rowOff>
    </xdr:from>
    <xdr:to>
      <xdr:col>3</xdr:col>
      <xdr:colOff>1266825</xdr:colOff>
      <xdr:row>102</xdr:row>
      <xdr:rowOff>1256665</xdr:rowOff>
    </xdr:to>
    <xdr:pic>
      <xdr:nvPicPr>
        <xdr:cNvPr id="95" name="ID_BD77971AD8E34A2D94500F88B17EE8B8" descr="322-90 (2)"/>
        <xdr:cNvPicPr>
          <a:picLocks noChangeAspect="1"/>
        </xdr:cNvPicPr>
      </xdr:nvPicPr>
      <xdr:blipFill>
        <a:blip r:embed="rId88"/>
        <a:stretch>
          <a:fillRect/>
        </a:stretch>
      </xdr:blipFill>
      <xdr:spPr>
        <a:xfrm>
          <a:off x="1924050" y="12718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103</xdr:row>
      <xdr:rowOff>18415</xdr:rowOff>
    </xdr:from>
    <xdr:to>
      <xdr:col>3</xdr:col>
      <xdr:colOff>1266825</xdr:colOff>
      <xdr:row>103</xdr:row>
      <xdr:rowOff>1256665</xdr:rowOff>
    </xdr:to>
    <xdr:pic>
      <xdr:nvPicPr>
        <xdr:cNvPr id="96" name="ID_DEA6064902C84EBFBFF1A3A171C698A5" descr="322-91 (2)"/>
        <xdr:cNvPicPr>
          <a:picLocks noChangeAspect="1"/>
        </xdr:cNvPicPr>
      </xdr:nvPicPr>
      <xdr:blipFill>
        <a:blip r:embed="rId89"/>
        <a:stretch>
          <a:fillRect/>
        </a:stretch>
      </xdr:blipFill>
      <xdr:spPr>
        <a:xfrm>
          <a:off x="1924050" y="12845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104</xdr:row>
      <xdr:rowOff>18415</xdr:rowOff>
    </xdr:from>
    <xdr:to>
      <xdr:col>3</xdr:col>
      <xdr:colOff>1266825</xdr:colOff>
      <xdr:row>104</xdr:row>
      <xdr:rowOff>1256665</xdr:rowOff>
    </xdr:to>
    <xdr:pic>
      <xdr:nvPicPr>
        <xdr:cNvPr id="97" name="ID_E13914E64FBB4212B371A42794CECEFF" descr="322-92 (2)"/>
        <xdr:cNvPicPr>
          <a:picLocks noChangeAspect="1"/>
        </xdr:cNvPicPr>
      </xdr:nvPicPr>
      <xdr:blipFill>
        <a:blip r:embed="rId90"/>
        <a:stretch>
          <a:fillRect/>
        </a:stretch>
      </xdr:blipFill>
      <xdr:spPr>
        <a:xfrm>
          <a:off x="1924050" y="12972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105</xdr:row>
      <xdr:rowOff>18415</xdr:rowOff>
    </xdr:from>
    <xdr:to>
      <xdr:col>3</xdr:col>
      <xdr:colOff>1266825</xdr:colOff>
      <xdr:row>105</xdr:row>
      <xdr:rowOff>1256665</xdr:rowOff>
    </xdr:to>
    <xdr:pic>
      <xdr:nvPicPr>
        <xdr:cNvPr id="98" name="ID_0C852279759B4FE4AC58FB47CBB743D7" descr="322-93 (2)"/>
        <xdr:cNvPicPr>
          <a:picLocks noChangeAspect="1"/>
        </xdr:cNvPicPr>
      </xdr:nvPicPr>
      <xdr:blipFill>
        <a:blip r:embed="rId91"/>
        <a:stretch>
          <a:fillRect/>
        </a:stretch>
      </xdr:blipFill>
      <xdr:spPr>
        <a:xfrm>
          <a:off x="1924050" y="13099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106</xdr:row>
      <xdr:rowOff>18415</xdr:rowOff>
    </xdr:from>
    <xdr:to>
      <xdr:col>3</xdr:col>
      <xdr:colOff>1266825</xdr:colOff>
      <xdr:row>106</xdr:row>
      <xdr:rowOff>1256665</xdr:rowOff>
    </xdr:to>
    <xdr:pic>
      <xdr:nvPicPr>
        <xdr:cNvPr id="99" name="ID_8568C717B4C74716A5B3A7CADF459FE7" descr="322-94 (2)"/>
        <xdr:cNvPicPr>
          <a:picLocks noChangeAspect="1"/>
        </xdr:cNvPicPr>
      </xdr:nvPicPr>
      <xdr:blipFill>
        <a:blip r:embed="rId92"/>
        <a:stretch>
          <a:fillRect/>
        </a:stretch>
      </xdr:blipFill>
      <xdr:spPr>
        <a:xfrm>
          <a:off x="1924050" y="13226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107</xdr:row>
      <xdr:rowOff>18415</xdr:rowOff>
    </xdr:from>
    <xdr:to>
      <xdr:col>3</xdr:col>
      <xdr:colOff>1266825</xdr:colOff>
      <xdr:row>107</xdr:row>
      <xdr:rowOff>1256665</xdr:rowOff>
    </xdr:to>
    <xdr:pic>
      <xdr:nvPicPr>
        <xdr:cNvPr id="100" name="ID_873CA3020DD44339B92A35CF15643E2C" descr="322-95 (2)"/>
        <xdr:cNvPicPr>
          <a:picLocks noChangeAspect="1"/>
        </xdr:cNvPicPr>
      </xdr:nvPicPr>
      <xdr:blipFill>
        <a:blip r:embed="rId93"/>
        <a:stretch>
          <a:fillRect/>
        </a:stretch>
      </xdr:blipFill>
      <xdr:spPr>
        <a:xfrm>
          <a:off x="1924050" y="13353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108</xdr:row>
      <xdr:rowOff>18415</xdr:rowOff>
    </xdr:from>
    <xdr:to>
      <xdr:col>3</xdr:col>
      <xdr:colOff>1266825</xdr:colOff>
      <xdr:row>108</xdr:row>
      <xdr:rowOff>1256665</xdr:rowOff>
    </xdr:to>
    <xdr:pic>
      <xdr:nvPicPr>
        <xdr:cNvPr id="101" name="ID_4BF29A64582242A1B3E55BB1482D7134" descr="322-96 (2)"/>
        <xdr:cNvPicPr>
          <a:picLocks noChangeAspect="1"/>
        </xdr:cNvPicPr>
      </xdr:nvPicPr>
      <xdr:blipFill>
        <a:blip r:embed="rId94"/>
        <a:stretch>
          <a:fillRect/>
        </a:stretch>
      </xdr:blipFill>
      <xdr:spPr>
        <a:xfrm>
          <a:off x="1924050" y="13480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109</xdr:row>
      <xdr:rowOff>18415</xdr:rowOff>
    </xdr:from>
    <xdr:to>
      <xdr:col>3</xdr:col>
      <xdr:colOff>1266825</xdr:colOff>
      <xdr:row>109</xdr:row>
      <xdr:rowOff>1256665</xdr:rowOff>
    </xdr:to>
    <xdr:pic>
      <xdr:nvPicPr>
        <xdr:cNvPr id="102" name="ID_4296FEF31A214A7D8772F0923D15868E" descr="322-97 (2)"/>
        <xdr:cNvPicPr>
          <a:picLocks noChangeAspect="1"/>
        </xdr:cNvPicPr>
      </xdr:nvPicPr>
      <xdr:blipFill>
        <a:blip r:embed="rId95"/>
        <a:stretch>
          <a:fillRect/>
        </a:stretch>
      </xdr:blipFill>
      <xdr:spPr>
        <a:xfrm>
          <a:off x="1924050" y="13607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110</xdr:row>
      <xdr:rowOff>18415</xdr:rowOff>
    </xdr:from>
    <xdr:to>
      <xdr:col>3</xdr:col>
      <xdr:colOff>1266825</xdr:colOff>
      <xdr:row>110</xdr:row>
      <xdr:rowOff>1256665</xdr:rowOff>
    </xdr:to>
    <xdr:pic>
      <xdr:nvPicPr>
        <xdr:cNvPr id="103" name="ID_85439DAC9D1C4333BA317F395F4DA500" descr="322-98 (2)"/>
        <xdr:cNvPicPr>
          <a:picLocks noChangeAspect="1"/>
        </xdr:cNvPicPr>
      </xdr:nvPicPr>
      <xdr:blipFill>
        <a:blip r:embed="rId96"/>
        <a:stretch>
          <a:fillRect/>
        </a:stretch>
      </xdr:blipFill>
      <xdr:spPr>
        <a:xfrm>
          <a:off x="1924050" y="13734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111</xdr:row>
      <xdr:rowOff>18415</xdr:rowOff>
    </xdr:from>
    <xdr:to>
      <xdr:col>3</xdr:col>
      <xdr:colOff>1266825</xdr:colOff>
      <xdr:row>111</xdr:row>
      <xdr:rowOff>1256665</xdr:rowOff>
    </xdr:to>
    <xdr:pic>
      <xdr:nvPicPr>
        <xdr:cNvPr id="104" name="ID_593E14BCAEF3459B9980D3BBD1BDB6CF" descr="322-99 (2)"/>
        <xdr:cNvPicPr>
          <a:picLocks noChangeAspect="1"/>
        </xdr:cNvPicPr>
      </xdr:nvPicPr>
      <xdr:blipFill>
        <a:blip r:embed="rId97"/>
        <a:stretch>
          <a:fillRect/>
        </a:stretch>
      </xdr:blipFill>
      <xdr:spPr>
        <a:xfrm>
          <a:off x="1924050" y="13861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113</xdr:row>
      <xdr:rowOff>18415</xdr:rowOff>
    </xdr:from>
    <xdr:to>
      <xdr:col>3</xdr:col>
      <xdr:colOff>1266825</xdr:colOff>
      <xdr:row>113</xdr:row>
      <xdr:rowOff>1256665</xdr:rowOff>
    </xdr:to>
    <xdr:pic>
      <xdr:nvPicPr>
        <xdr:cNvPr id="105" name="ID_3D643C5EF4794F569F740D1B0CB1CC3C" descr="322-102 (2)"/>
        <xdr:cNvPicPr>
          <a:picLocks noChangeAspect="1"/>
        </xdr:cNvPicPr>
      </xdr:nvPicPr>
      <xdr:blipFill>
        <a:blip r:embed="rId98"/>
        <a:stretch>
          <a:fillRect/>
        </a:stretch>
      </xdr:blipFill>
      <xdr:spPr>
        <a:xfrm>
          <a:off x="1924050" y="14115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116</xdr:row>
      <xdr:rowOff>18415</xdr:rowOff>
    </xdr:from>
    <xdr:to>
      <xdr:col>3</xdr:col>
      <xdr:colOff>1266825</xdr:colOff>
      <xdr:row>116</xdr:row>
      <xdr:rowOff>1256665</xdr:rowOff>
    </xdr:to>
    <xdr:pic>
      <xdr:nvPicPr>
        <xdr:cNvPr id="106" name="ID_714C548F744A487D90F7F53B31A35CE4" descr="322-105 (2)"/>
        <xdr:cNvPicPr>
          <a:picLocks noChangeAspect="1"/>
        </xdr:cNvPicPr>
      </xdr:nvPicPr>
      <xdr:blipFill>
        <a:blip r:embed="rId99"/>
        <a:stretch>
          <a:fillRect/>
        </a:stretch>
      </xdr:blipFill>
      <xdr:spPr>
        <a:xfrm>
          <a:off x="1924050" y="14496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119</xdr:row>
      <xdr:rowOff>18415</xdr:rowOff>
    </xdr:from>
    <xdr:to>
      <xdr:col>3</xdr:col>
      <xdr:colOff>1266825</xdr:colOff>
      <xdr:row>119</xdr:row>
      <xdr:rowOff>1256665</xdr:rowOff>
    </xdr:to>
    <xdr:pic>
      <xdr:nvPicPr>
        <xdr:cNvPr id="107" name="ID_505D60FF83A146058EA8724E57F497D5" descr="322-108 (2)"/>
        <xdr:cNvPicPr>
          <a:picLocks noChangeAspect="1"/>
        </xdr:cNvPicPr>
      </xdr:nvPicPr>
      <xdr:blipFill>
        <a:blip r:embed="rId100"/>
        <a:stretch>
          <a:fillRect/>
        </a:stretch>
      </xdr:blipFill>
      <xdr:spPr>
        <a:xfrm>
          <a:off x="1924050" y="14877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120</xdr:row>
      <xdr:rowOff>18415</xdr:rowOff>
    </xdr:from>
    <xdr:to>
      <xdr:col>3</xdr:col>
      <xdr:colOff>1266825</xdr:colOff>
      <xdr:row>120</xdr:row>
      <xdr:rowOff>1256665</xdr:rowOff>
    </xdr:to>
    <xdr:pic>
      <xdr:nvPicPr>
        <xdr:cNvPr id="108" name="ID_6A225F55CDA44496B968721C2E06C01C" descr="322-109 (2)"/>
        <xdr:cNvPicPr>
          <a:picLocks noChangeAspect="1"/>
        </xdr:cNvPicPr>
      </xdr:nvPicPr>
      <xdr:blipFill>
        <a:blip r:embed="rId101"/>
        <a:stretch>
          <a:fillRect/>
        </a:stretch>
      </xdr:blipFill>
      <xdr:spPr>
        <a:xfrm>
          <a:off x="1924050" y="15004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122</xdr:row>
      <xdr:rowOff>18415</xdr:rowOff>
    </xdr:from>
    <xdr:to>
      <xdr:col>3</xdr:col>
      <xdr:colOff>1266825</xdr:colOff>
      <xdr:row>122</xdr:row>
      <xdr:rowOff>1256665</xdr:rowOff>
    </xdr:to>
    <xdr:pic>
      <xdr:nvPicPr>
        <xdr:cNvPr id="109" name="ID_FB272B1E4C414E0984F6F760CABAF4B0" descr="322-111 (2)"/>
        <xdr:cNvPicPr>
          <a:picLocks noChangeAspect="1"/>
        </xdr:cNvPicPr>
      </xdr:nvPicPr>
      <xdr:blipFill>
        <a:blip r:embed="rId102"/>
        <a:stretch>
          <a:fillRect/>
        </a:stretch>
      </xdr:blipFill>
      <xdr:spPr>
        <a:xfrm>
          <a:off x="1924050" y="15258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123</xdr:row>
      <xdr:rowOff>18415</xdr:rowOff>
    </xdr:from>
    <xdr:to>
      <xdr:col>3</xdr:col>
      <xdr:colOff>1266825</xdr:colOff>
      <xdr:row>123</xdr:row>
      <xdr:rowOff>1256665</xdr:rowOff>
    </xdr:to>
    <xdr:pic>
      <xdr:nvPicPr>
        <xdr:cNvPr id="110" name="ID_BEBC9F1F1FD24F23A1444576C8968E0B" descr="322-123 (2)"/>
        <xdr:cNvPicPr>
          <a:picLocks noChangeAspect="1"/>
        </xdr:cNvPicPr>
      </xdr:nvPicPr>
      <xdr:blipFill>
        <a:blip r:embed="rId103"/>
        <a:stretch>
          <a:fillRect/>
        </a:stretch>
      </xdr:blipFill>
      <xdr:spPr>
        <a:xfrm>
          <a:off x="1924050" y="15385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124</xdr:row>
      <xdr:rowOff>18415</xdr:rowOff>
    </xdr:from>
    <xdr:to>
      <xdr:col>3</xdr:col>
      <xdr:colOff>1266825</xdr:colOff>
      <xdr:row>124</xdr:row>
      <xdr:rowOff>1256665</xdr:rowOff>
    </xdr:to>
    <xdr:pic>
      <xdr:nvPicPr>
        <xdr:cNvPr id="111" name="ID_C24EDCCAE16542E3A4535AEDC8D1FDC7" descr="322-124 (2)"/>
        <xdr:cNvPicPr>
          <a:picLocks noChangeAspect="1"/>
        </xdr:cNvPicPr>
      </xdr:nvPicPr>
      <xdr:blipFill>
        <a:blip r:embed="rId104"/>
        <a:stretch>
          <a:fillRect/>
        </a:stretch>
      </xdr:blipFill>
      <xdr:spPr>
        <a:xfrm>
          <a:off x="1924050" y="15512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125</xdr:row>
      <xdr:rowOff>18415</xdr:rowOff>
    </xdr:from>
    <xdr:to>
      <xdr:col>3</xdr:col>
      <xdr:colOff>1266825</xdr:colOff>
      <xdr:row>125</xdr:row>
      <xdr:rowOff>1256665</xdr:rowOff>
    </xdr:to>
    <xdr:pic>
      <xdr:nvPicPr>
        <xdr:cNvPr id="112" name="ID_BC13B258F8964709AFF4B6D24C550772" descr="322-125 (2)"/>
        <xdr:cNvPicPr>
          <a:picLocks noChangeAspect="1"/>
        </xdr:cNvPicPr>
      </xdr:nvPicPr>
      <xdr:blipFill>
        <a:blip r:embed="rId105"/>
        <a:stretch>
          <a:fillRect/>
        </a:stretch>
      </xdr:blipFill>
      <xdr:spPr>
        <a:xfrm>
          <a:off x="1924050" y="15639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126</xdr:row>
      <xdr:rowOff>18415</xdr:rowOff>
    </xdr:from>
    <xdr:to>
      <xdr:col>3</xdr:col>
      <xdr:colOff>1266825</xdr:colOff>
      <xdr:row>126</xdr:row>
      <xdr:rowOff>1256665</xdr:rowOff>
    </xdr:to>
    <xdr:pic>
      <xdr:nvPicPr>
        <xdr:cNvPr id="113" name="ID_4653EF8951B14BC092098A6EB7156EFA" descr="322-126 (2)"/>
        <xdr:cNvPicPr>
          <a:picLocks noChangeAspect="1"/>
        </xdr:cNvPicPr>
      </xdr:nvPicPr>
      <xdr:blipFill>
        <a:blip r:embed="rId106"/>
        <a:stretch>
          <a:fillRect/>
        </a:stretch>
      </xdr:blipFill>
      <xdr:spPr>
        <a:xfrm>
          <a:off x="1924050" y="15766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127</xdr:row>
      <xdr:rowOff>18415</xdr:rowOff>
    </xdr:from>
    <xdr:to>
      <xdr:col>3</xdr:col>
      <xdr:colOff>1266825</xdr:colOff>
      <xdr:row>127</xdr:row>
      <xdr:rowOff>1256665</xdr:rowOff>
    </xdr:to>
    <xdr:pic>
      <xdr:nvPicPr>
        <xdr:cNvPr id="114" name="ID_921FC7A3ECBF47099E6330739D2FFBB9" descr="322-2 (2)"/>
        <xdr:cNvPicPr>
          <a:picLocks noChangeAspect="1"/>
        </xdr:cNvPicPr>
      </xdr:nvPicPr>
      <xdr:blipFill>
        <a:blip r:embed="rId107"/>
        <a:stretch>
          <a:fillRect/>
        </a:stretch>
      </xdr:blipFill>
      <xdr:spPr>
        <a:xfrm>
          <a:off x="1924050" y="15893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128</xdr:row>
      <xdr:rowOff>18415</xdr:rowOff>
    </xdr:from>
    <xdr:to>
      <xdr:col>3</xdr:col>
      <xdr:colOff>1266825</xdr:colOff>
      <xdr:row>128</xdr:row>
      <xdr:rowOff>1256665</xdr:rowOff>
    </xdr:to>
    <xdr:pic>
      <xdr:nvPicPr>
        <xdr:cNvPr id="115" name="ID_42C57F58A97A42E1B548D235880C64F4" descr="322-3 (2)"/>
        <xdr:cNvPicPr>
          <a:picLocks noChangeAspect="1"/>
        </xdr:cNvPicPr>
      </xdr:nvPicPr>
      <xdr:blipFill>
        <a:blip r:embed="rId108"/>
        <a:stretch>
          <a:fillRect/>
        </a:stretch>
      </xdr:blipFill>
      <xdr:spPr>
        <a:xfrm>
          <a:off x="1924050" y="16020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129</xdr:row>
      <xdr:rowOff>18415</xdr:rowOff>
    </xdr:from>
    <xdr:to>
      <xdr:col>3</xdr:col>
      <xdr:colOff>1266825</xdr:colOff>
      <xdr:row>129</xdr:row>
      <xdr:rowOff>1256665</xdr:rowOff>
    </xdr:to>
    <xdr:pic>
      <xdr:nvPicPr>
        <xdr:cNvPr id="116" name="ID_821BCB34E7044E94BFAD03BDB76307BB" descr="322-4 (2)"/>
        <xdr:cNvPicPr>
          <a:picLocks noChangeAspect="1"/>
        </xdr:cNvPicPr>
      </xdr:nvPicPr>
      <xdr:blipFill>
        <a:blip r:embed="rId109"/>
        <a:stretch>
          <a:fillRect/>
        </a:stretch>
      </xdr:blipFill>
      <xdr:spPr>
        <a:xfrm>
          <a:off x="1924050" y="16147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130</xdr:row>
      <xdr:rowOff>18415</xdr:rowOff>
    </xdr:from>
    <xdr:to>
      <xdr:col>3</xdr:col>
      <xdr:colOff>1266825</xdr:colOff>
      <xdr:row>130</xdr:row>
      <xdr:rowOff>1256665</xdr:rowOff>
    </xdr:to>
    <xdr:pic>
      <xdr:nvPicPr>
        <xdr:cNvPr id="117" name="ID_85885B7BEC984D6F889F5B05C9C0E9E0" descr="322-5 (2)"/>
        <xdr:cNvPicPr>
          <a:picLocks noChangeAspect="1"/>
        </xdr:cNvPicPr>
      </xdr:nvPicPr>
      <xdr:blipFill>
        <a:blip r:embed="rId110"/>
        <a:stretch>
          <a:fillRect/>
        </a:stretch>
      </xdr:blipFill>
      <xdr:spPr>
        <a:xfrm>
          <a:off x="1924050" y="16274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131</xdr:row>
      <xdr:rowOff>18415</xdr:rowOff>
    </xdr:from>
    <xdr:to>
      <xdr:col>3</xdr:col>
      <xdr:colOff>1266825</xdr:colOff>
      <xdr:row>131</xdr:row>
      <xdr:rowOff>1256665</xdr:rowOff>
    </xdr:to>
    <xdr:pic>
      <xdr:nvPicPr>
        <xdr:cNvPr id="118" name="ID_FF40B69849DD4D22B892B655A29B19AC" descr="322-6 (2)"/>
        <xdr:cNvPicPr>
          <a:picLocks noChangeAspect="1"/>
        </xdr:cNvPicPr>
      </xdr:nvPicPr>
      <xdr:blipFill>
        <a:blip r:embed="rId111"/>
        <a:stretch>
          <a:fillRect/>
        </a:stretch>
      </xdr:blipFill>
      <xdr:spPr>
        <a:xfrm>
          <a:off x="1924050" y="16401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132</xdr:row>
      <xdr:rowOff>18415</xdr:rowOff>
    </xdr:from>
    <xdr:to>
      <xdr:col>3</xdr:col>
      <xdr:colOff>1266825</xdr:colOff>
      <xdr:row>132</xdr:row>
      <xdr:rowOff>1256665</xdr:rowOff>
    </xdr:to>
    <xdr:pic>
      <xdr:nvPicPr>
        <xdr:cNvPr id="119" name="ID_21E753B9E2F44780BD531D8397D9F219" descr="322-7 (2)"/>
        <xdr:cNvPicPr>
          <a:picLocks noChangeAspect="1"/>
        </xdr:cNvPicPr>
      </xdr:nvPicPr>
      <xdr:blipFill>
        <a:blip r:embed="rId112"/>
        <a:stretch>
          <a:fillRect/>
        </a:stretch>
      </xdr:blipFill>
      <xdr:spPr>
        <a:xfrm>
          <a:off x="1924050" y="16528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133</xdr:row>
      <xdr:rowOff>18415</xdr:rowOff>
    </xdr:from>
    <xdr:to>
      <xdr:col>3</xdr:col>
      <xdr:colOff>1266825</xdr:colOff>
      <xdr:row>133</xdr:row>
      <xdr:rowOff>1256665</xdr:rowOff>
    </xdr:to>
    <xdr:pic>
      <xdr:nvPicPr>
        <xdr:cNvPr id="120" name="ID_987B23B8204146D5B62F4A76A3A0FC76" descr="322-127 (2)"/>
        <xdr:cNvPicPr>
          <a:picLocks noChangeAspect="1"/>
        </xdr:cNvPicPr>
      </xdr:nvPicPr>
      <xdr:blipFill>
        <a:blip r:embed="rId113"/>
        <a:stretch>
          <a:fillRect/>
        </a:stretch>
      </xdr:blipFill>
      <xdr:spPr>
        <a:xfrm>
          <a:off x="1924050" y="16655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134</xdr:row>
      <xdr:rowOff>18415</xdr:rowOff>
    </xdr:from>
    <xdr:to>
      <xdr:col>3</xdr:col>
      <xdr:colOff>1266825</xdr:colOff>
      <xdr:row>134</xdr:row>
      <xdr:rowOff>1256665</xdr:rowOff>
    </xdr:to>
    <xdr:pic>
      <xdr:nvPicPr>
        <xdr:cNvPr id="121" name="ID_0A568762EE244ABAA97FAAEC9E53F9CF" descr="322-128 (2)"/>
        <xdr:cNvPicPr>
          <a:picLocks noChangeAspect="1"/>
        </xdr:cNvPicPr>
      </xdr:nvPicPr>
      <xdr:blipFill>
        <a:blip r:embed="rId114"/>
        <a:stretch>
          <a:fillRect/>
        </a:stretch>
      </xdr:blipFill>
      <xdr:spPr>
        <a:xfrm>
          <a:off x="1924050" y="16782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135</xdr:row>
      <xdr:rowOff>18415</xdr:rowOff>
    </xdr:from>
    <xdr:to>
      <xdr:col>3</xdr:col>
      <xdr:colOff>1266825</xdr:colOff>
      <xdr:row>135</xdr:row>
      <xdr:rowOff>1256665</xdr:rowOff>
    </xdr:to>
    <xdr:pic>
      <xdr:nvPicPr>
        <xdr:cNvPr id="122" name="ID_5B3516118F864F348123DE97A7BFD7D8" descr="322-129 (2)"/>
        <xdr:cNvPicPr>
          <a:picLocks noChangeAspect="1"/>
        </xdr:cNvPicPr>
      </xdr:nvPicPr>
      <xdr:blipFill>
        <a:blip r:embed="rId115"/>
        <a:stretch>
          <a:fillRect/>
        </a:stretch>
      </xdr:blipFill>
      <xdr:spPr>
        <a:xfrm>
          <a:off x="1924050" y="16909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136</xdr:row>
      <xdr:rowOff>18415</xdr:rowOff>
    </xdr:from>
    <xdr:to>
      <xdr:col>3</xdr:col>
      <xdr:colOff>1266825</xdr:colOff>
      <xdr:row>136</xdr:row>
      <xdr:rowOff>1256665</xdr:rowOff>
    </xdr:to>
    <xdr:pic>
      <xdr:nvPicPr>
        <xdr:cNvPr id="123" name="ID_B039137FE18E4044A5E420BC04438D3F" descr="322-130 (2)"/>
        <xdr:cNvPicPr>
          <a:picLocks noChangeAspect="1"/>
        </xdr:cNvPicPr>
      </xdr:nvPicPr>
      <xdr:blipFill>
        <a:blip r:embed="rId116"/>
        <a:stretch>
          <a:fillRect/>
        </a:stretch>
      </xdr:blipFill>
      <xdr:spPr>
        <a:xfrm>
          <a:off x="1924050" y="17036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137</xdr:row>
      <xdr:rowOff>18415</xdr:rowOff>
    </xdr:from>
    <xdr:to>
      <xdr:col>3</xdr:col>
      <xdr:colOff>1266825</xdr:colOff>
      <xdr:row>137</xdr:row>
      <xdr:rowOff>1256665</xdr:rowOff>
    </xdr:to>
    <xdr:pic>
      <xdr:nvPicPr>
        <xdr:cNvPr id="124" name="ID_C33A2A11C701486E8748867FFEF55BAF" descr="322-131 (2)"/>
        <xdr:cNvPicPr>
          <a:picLocks noChangeAspect="1"/>
        </xdr:cNvPicPr>
      </xdr:nvPicPr>
      <xdr:blipFill>
        <a:blip r:embed="rId117"/>
        <a:stretch>
          <a:fillRect/>
        </a:stretch>
      </xdr:blipFill>
      <xdr:spPr>
        <a:xfrm>
          <a:off x="1924050" y="17163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138</xdr:row>
      <xdr:rowOff>18415</xdr:rowOff>
    </xdr:from>
    <xdr:to>
      <xdr:col>3</xdr:col>
      <xdr:colOff>1266825</xdr:colOff>
      <xdr:row>138</xdr:row>
      <xdr:rowOff>1256665</xdr:rowOff>
    </xdr:to>
    <xdr:pic>
      <xdr:nvPicPr>
        <xdr:cNvPr id="125" name="ID_BD8C7707455443FC9C21020263F84DE9" descr="322-132 (2)"/>
        <xdr:cNvPicPr>
          <a:picLocks noChangeAspect="1"/>
        </xdr:cNvPicPr>
      </xdr:nvPicPr>
      <xdr:blipFill>
        <a:blip r:embed="rId118"/>
        <a:stretch>
          <a:fillRect/>
        </a:stretch>
      </xdr:blipFill>
      <xdr:spPr>
        <a:xfrm>
          <a:off x="1924050" y="17290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139</xdr:row>
      <xdr:rowOff>18415</xdr:rowOff>
    </xdr:from>
    <xdr:to>
      <xdr:col>3</xdr:col>
      <xdr:colOff>1266825</xdr:colOff>
      <xdr:row>139</xdr:row>
      <xdr:rowOff>1256665</xdr:rowOff>
    </xdr:to>
    <xdr:pic>
      <xdr:nvPicPr>
        <xdr:cNvPr id="126" name="ID_0E4CEB04D89040BE91EA78791B87E64E" descr="322-133 (2)"/>
        <xdr:cNvPicPr>
          <a:picLocks noChangeAspect="1"/>
        </xdr:cNvPicPr>
      </xdr:nvPicPr>
      <xdr:blipFill>
        <a:blip r:embed="rId119"/>
        <a:stretch>
          <a:fillRect/>
        </a:stretch>
      </xdr:blipFill>
      <xdr:spPr>
        <a:xfrm>
          <a:off x="1924050" y="17417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140</xdr:row>
      <xdr:rowOff>18415</xdr:rowOff>
    </xdr:from>
    <xdr:to>
      <xdr:col>3</xdr:col>
      <xdr:colOff>1266825</xdr:colOff>
      <xdr:row>140</xdr:row>
      <xdr:rowOff>1256665</xdr:rowOff>
    </xdr:to>
    <xdr:pic>
      <xdr:nvPicPr>
        <xdr:cNvPr id="127" name="ID_B84E574D4A304877A669ED0DD0A9CE7C" descr="322-134 (2)"/>
        <xdr:cNvPicPr>
          <a:picLocks noChangeAspect="1"/>
        </xdr:cNvPicPr>
      </xdr:nvPicPr>
      <xdr:blipFill>
        <a:blip r:embed="rId120"/>
        <a:stretch>
          <a:fillRect/>
        </a:stretch>
      </xdr:blipFill>
      <xdr:spPr>
        <a:xfrm>
          <a:off x="1924050" y="17544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141</xdr:row>
      <xdr:rowOff>18415</xdr:rowOff>
    </xdr:from>
    <xdr:to>
      <xdr:col>3</xdr:col>
      <xdr:colOff>1266825</xdr:colOff>
      <xdr:row>141</xdr:row>
      <xdr:rowOff>1256665</xdr:rowOff>
    </xdr:to>
    <xdr:pic>
      <xdr:nvPicPr>
        <xdr:cNvPr id="128" name="ID_A4753EC2462544CC8B2C87FF047842EF" descr="322-135 (2)"/>
        <xdr:cNvPicPr>
          <a:picLocks noChangeAspect="1"/>
        </xdr:cNvPicPr>
      </xdr:nvPicPr>
      <xdr:blipFill>
        <a:blip r:embed="rId121"/>
        <a:stretch>
          <a:fillRect/>
        </a:stretch>
      </xdr:blipFill>
      <xdr:spPr>
        <a:xfrm>
          <a:off x="1924050" y="17671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142</xdr:row>
      <xdr:rowOff>18415</xdr:rowOff>
    </xdr:from>
    <xdr:to>
      <xdr:col>3</xdr:col>
      <xdr:colOff>1266825</xdr:colOff>
      <xdr:row>142</xdr:row>
      <xdr:rowOff>1256665</xdr:rowOff>
    </xdr:to>
    <xdr:pic>
      <xdr:nvPicPr>
        <xdr:cNvPr id="129" name="ID_E9C5933161C747CCB0DE3580A0DF6328" descr="322-136 (2)"/>
        <xdr:cNvPicPr>
          <a:picLocks noChangeAspect="1"/>
        </xdr:cNvPicPr>
      </xdr:nvPicPr>
      <xdr:blipFill>
        <a:blip r:embed="rId122"/>
        <a:stretch>
          <a:fillRect/>
        </a:stretch>
      </xdr:blipFill>
      <xdr:spPr>
        <a:xfrm>
          <a:off x="1924050" y="17798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143</xdr:row>
      <xdr:rowOff>18415</xdr:rowOff>
    </xdr:from>
    <xdr:to>
      <xdr:col>3</xdr:col>
      <xdr:colOff>1266825</xdr:colOff>
      <xdr:row>143</xdr:row>
      <xdr:rowOff>1256665</xdr:rowOff>
    </xdr:to>
    <xdr:pic>
      <xdr:nvPicPr>
        <xdr:cNvPr id="130" name="ID_E4D65B3A27D642A19572BF98C3689577" descr="322-137 (2)"/>
        <xdr:cNvPicPr>
          <a:picLocks noChangeAspect="1"/>
        </xdr:cNvPicPr>
      </xdr:nvPicPr>
      <xdr:blipFill>
        <a:blip r:embed="rId123"/>
        <a:stretch>
          <a:fillRect/>
        </a:stretch>
      </xdr:blipFill>
      <xdr:spPr>
        <a:xfrm>
          <a:off x="1924050" y="17925351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28</xdr:row>
      <xdr:rowOff>31750</xdr:rowOff>
    </xdr:from>
    <xdr:to>
      <xdr:col>3</xdr:col>
      <xdr:colOff>1266825</xdr:colOff>
      <xdr:row>29</xdr:row>
      <xdr:rowOff>0</xdr:rowOff>
    </xdr:to>
    <xdr:pic>
      <xdr:nvPicPr>
        <xdr:cNvPr id="131" name="ID_2CEE188306A14C8AAE30E890D39BBC5D" descr="322-67 (1)"/>
        <xdr:cNvPicPr>
          <a:picLocks noChangeAspect="1"/>
        </xdr:cNvPicPr>
      </xdr:nvPicPr>
      <xdr:blipFill>
        <a:blip r:embed="rId124"/>
        <a:stretch>
          <a:fillRect/>
        </a:stretch>
      </xdr:blipFill>
      <xdr:spPr>
        <a:xfrm>
          <a:off x="1924050" y="33216850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118</xdr:row>
      <xdr:rowOff>37465</xdr:rowOff>
    </xdr:from>
    <xdr:to>
      <xdr:col>3</xdr:col>
      <xdr:colOff>1266825</xdr:colOff>
      <xdr:row>119</xdr:row>
      <xdr:rowOff>5715</xdr:rowOff>
    </xdr:to>
    <xdr:pic>
      <xdr:nvPicPr>
        <xdr:cNvPr id="132" name="ID_A8B214A67E2D4DA8AFADC7ABEFCE22CE" descr="322-107 (3)"/>
        <xdr:cNvPicPr>
          <a:picLocks noChangeAspect="1"/>
        </xdr:cNvPicPr>
      </xdr:nvPicPr>
      <xdr:blipFill>
        <a:blip r:embed="rId125"/>
        <a:stretch>
          <a:fillRect/>
        </a:stretch>
      </xdr:blipFill>
      <xdr:spPr>
        <a:xfrm>
          <a:off x="1924050" y="14752256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120</xdr:row>
      <xdr:rowOff>1256665</xdr:rowOff>
    </xdr:from>
    <xdr:to>
      <xdr:col>3</xdr:col>
      <xdr:colOff>1266825</xdr:colOff>
      <xdr:row>121</xdr:row>
      <xdr:rowOff>1224915</xdr:rowOff>
    </xdr:to>
    <xdr:pic>
      <xdr:nvPicPr>
        <xdr:cNvPr id="133" name="ID_3CBF95D155B943CB9515D8CBAF30178F" descr="322-110 (3)"/>
        <xdr:cNvPicPr>
          <a:picLocks noChangeAspect="1"/>
        </xdr:cNvPicPr>
      </xdr:nvPicPr>
      <xdr:blipFill>
        <a:blip r:embed="rId126"/>
        <a:stretch>
          <a:fillRect/>
        </a:stretch>
      </xdr:blipFill>
      <xdr:spPr>
        <a:xfrm>
          <a:off x="1924050" y="151281765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117</xdr:row>
      <xdr:rowOff>0</xdr:rowOff>
    </xdr:from>
    <xdr:to>
      <xdr:col>3</xdr:col>
      <xdr:colOff>1266825</xdr:colOff>
      <xdr:row>117</xdr:row>
      <xdr:rowOff>1238250</xdr:rowOff>
    </xdr:to>
    <xdr:pic>
      <xdr:nvPicPr>
        <xdr:cNvPr id="134" name="ID_6C83A5F2BD624D41A2C093F0D65684F8" descr="322-106 (3)"/>
        <xdr:cNvPicPr>
          <a:picLocks noChangeAspect="1"/>
        </xdr:cNvPicPr>
      </xdr:nvPicPr>
      <xdr:blipFill>
        <a:blip r:embed="rId127"/>
        <a:stretch>
          <a:fillRect/>
        </a:stretch>
      </xdr:blipFill>
      <xdr:spPr>
        <a:xfrm>
          <a:off x="1924050" y="146215100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115</xdr:row>
      <xdr:rowOff>0</xdr:rowOff>
    </xdr:from>
    <xdr:to>
      <xdr:col>3</xdr:col>
      <xdr:colOff>1266825</xdr:colOff>
      <xdr:row>115</xdr:row>
      <xdr:rowOff>1238250</xdr:rowOff>
    </xdr:to>
    <xdr:pic>
      <xdr:nvPicPr>
        <xdr:cNvPr id="135" name="ID_889657C861A34223872174DD49DC1A57" descr="322-104 (3)"/>
        <xdr:cNvPicPr>
          <a:picLocks noChangeAspect="1"/>
        </xdr:cNvPicPr>
      </xdr:nvPicPr>
      <xdr:blipFill>
        <a:blip r:embed="rId128"/>
        <a:stretch>
          <a:fillRect/>
        </a:stretch>
      </xdr:blipFill>
      <xdr:spPr>
        <a:xfrm>
          <a:off x="1924050" y="143675100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114</xdr:row>
      <xdr:rowOff>0</xdr:rowOff>
    </xdr:from>
    <xdr:to>
      <xdr:col>3</xdr:col>
      <xdr:colOff>1266825</xdr:colOff>
      <xdr:row>114</xdr:row>
      <xdr:rowOff>1238250</xdr:rowOff>
    </xdr:to>
    <xdr:pic>
      <xdr:nvPicPr>
        <xdr:cNvPr id="136" name="ID_23192E6C5A1848E2A2ABADE5AAC2BD74" descr="322-103 (3)"/>
        <xdr:cNvPicPr>
          <a:picLocks noChangeAspect="1"/>
        </xdr:cNvPicPr>
      </xdr:nvPicPr>
      <xdr:blipFill>
        <a:blip r:embed="rId129"/>
        <a:stretch>
          <a:fillRect/>
        </a:stretch>
      </xdr:blipFill>
      <xdr:spPr>
        <a:xfrm>
          <a:off x="1924050" y="142405100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112</xdr:row>
      <xdr:rowOff>0</xdr:rowOff>
    </xdr:from>
    <xdr:to>
      <xdr:col>3</xdr:col>
      <xdr:colOff>1266825</xdr:colOff>
      <xdr:row>112</xdr:row>
      <xdr:rowOff>1238250</xdr:rowOff>
    </xdr:to>
    <xdr:pic>
      <xdr:nvPicPr>
        <xdr:cNvPr id="137" name="ID_84AD829EE7CC4A95BC97B5EA0F0CE3DC" descr="322-101 (3)"/>
        <xdr:cNvPicPr>
          <a:picLocks noChangeAspect="1"/>
        </xdr:cNvPicPr>
      </xdr:nvPicPr>
      <xdr:blipFill>
        <a:blip r:embed="rId130"/>
        <a:stretch>
          <a:fillRect/>
        </a:stretch>
      </xdr:blipFill>
      <xdr:spPr>
        <a:xfrm>
          <a:off x="1924050" y="139865100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95</xdr:row>
      <xdr:rowOff>0</xdr:rowOff>
    </xdr:from>
    <xdr:to>
      <xdr:col>3</xdr:col>
      <xdr:colOff>1266825</xdr:colOff>
      <xdr:row>95</xdr:row>
      <xdr:rowOff>1238250</xdr:rowOff>
    </xdr:to>
    <xdr:pic>
      <xdr:nvPicPr>
        <xdr:cNvPr id="139" name="ID_1C51328CC8AD444D83829BE42780CC38" descr="252-9 (3)"/>
        <xdr:cNvPicPr>
          <a:picLocks noChangeAspect="1"/>
        </xdr:cNvPicPr>
      </xdr:nvPicPr>
      <xdr:blipFill>
        <a:blip r:embed="rId131"/>
        <a:stretch>
          <a:fillRect/>
        </a:stretch>
      </xdr:blipFill>
      <xdr:spPr>
        <a:xfrm>
          <a:off x="1924050" y="118275100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94</xdr:row>
      <xdr:rowOff>0</xdr:rowOff>
    </xdr:from>
    <xdr:to>
      <xdr:col>3</xdr:col>
      <xdr:colOff>1266825</xdr:colOff>
      <xdr:row>94</xdr:row>
      <xdr:rowOff>1238250</xdr:rowOff>
    </xdr:to>
    <xdr:pic>
      <xdr:nvPicPr>
        <xdr:cNvPr id="140" name="ID_3DF018B63E8D421B928A09E254E9A97C" descr="252-8 (3)"/>
        <xdr:cNvPicPr>
          <a:picLocks noChangeAspect="1"/>
        </xdr:cNvPicPr>
      </xdr:nvPicPr>
      <xdr:blipFill>
        <a:blip r:embed="rId132"/>
        <a:stretch>
          <a:fillRect/>
        </a:stretch>
      </xdr:blipFill>
      <xdr:spPr>
        <a:xfrm>
          <a:off x="1924050" y="117005100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93</xdr:row>
      <xdr:rowOff>0</xdr:rowOff>
    </xdr:from>
    <xdr:to>
      <xdr:col>3</xdr:col>
      <xdr:colOff>1266825</xdr:colOff>
      <xdr:row>93</xdr:row>
      <xdr:rowOff>1238250</xdr:rowOff>
    </xdr:to>
    <xdr:pic>
      <xdr:nvPicPr>
        <xdr:cNvPr id="141" name="ID_3E125E8B80364592A07D12CC439C2535" descr="252-5-5 (3)"/>
        <xdr:cNvPicPr>
          <a:picLocks noChangeAspect="1"/>
        </xdr:cNvPicPr>
      </xdr:nvPicPr>
      <xdr:blipFill>
        <a:blip r:embed="rId133"/>
        <a:stretch>
          <a:fillRect/>
        </a:stretch>
      </xdr:blipFill>
      <xdr:spPr>
        <a:xfrm>
          <a:off x="1924050" y="115735100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87</xdr:row>
      <xdr:rowOff>0</xdr:rowOff>
    </xdr:from>
    <xdr:to>
      <xdr:col>3</xdr:col>
      <xdr:colOff>1266825</xdr:colOff>
      <xdr:row>87</xdr:row>
      <xdr:rowOff>1238250</xdr:rowOff>
    </xdr:to>
    <xdr:pic>
      <xdr:nvPicPr>
        <xdr:cNvPr id="142" name="ID_8F52EFD41B1449E19E075EDA74BE6B9F" descr="217-16 (3)"/>
        <xdr:cNvPicPr>
          <a:picLocks noChangeAspect="1"/>
        </xdr:cNvPicPr>
      </xdr:nvPicPr>
      <xdr:blipFill>
        <a:blip r:embed="rId134"/>
        <a:stretch>
          <a:fillRect/>
        </a:stretch>
      </xdr:blipFill>
      <xdr:spPr>
        <a:xfrm>
          <a:off x="1924050" y="108115100"/>
          <a:ext cx="1247775" cy="123825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84</xdr:row>
      <xdr:rowOff>21590</xdr:rowOff>
    </xdr:from>
    <xdr:to>
      <xdr:col>3</xdr:col>
      <xdr:colOff>1266825</xdr:colOff>
      <xdr:row>84</xdr:row>
      <xdr:rowOff>1257300</xdr:rowOff>
    </xdr:to>
    <xdr:pic>
      <xdr:nvPicPr>
        <xdr:cNvPr id="143" name="ID_41E8A0DFBD654461BC8D958EC5D7300D" descr="217-11 (3)"/>
        <xdr:cNvPicPr>
          <a:picLocks noChangeAspect="1"/>
        </xdr:cNvPicPr>
      </xdr:nvPicPr>
      <xdr:blipFill>
        <a:blip r:embed="rId135"/>
        <a:stretch>
          <a:fillRect/>
        </a:stretch>
      </xdr:blipFill>
      <xdr:spPr>
        <a:xfrm>
          <a:off x="1924050" y="104326690"/>
          <a:ext cx="1247775" cy="123571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83</xdr:row>
      <xdr:rowOff>21590</xdr:rowOff>
    </xdr:from>
    <xdr:to>
      <xdr:col>3</xdr:col>
      <xdr:colOff>1266825</xdr:colOff>
      <xdr:row>83</xdr:row>
      <xdr:rowOff>1257300</xdr:rowOff>
    </xdr:to>
    <xdr:pic>
      <xdr:nvPicPr>
        <xdr:cNvPr id="144" name="ID_11F23215A8AA4ACEA4BC153DD66DD191" descr="202-56 (3)"/>
        <xdr:cNvPicPr>
          <a:picLocks noChangeAspect="1"/>
        </xdr:cNvPicPr>
      </xdr:nvPicPr>
      <xdr:blipFill>
        <a:blip r:embed="rId136"/>
        <a:stretch>
          <a:fillRect/>
        </a:stretch>
      </xdr:blipFill>
      <xdr:spPr>
        <a:xfrm>
          <a:off x="1924050" y="103056690"/>
          <a:ext cx="1247775" cy="123571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79</xdr:row>
      <xdr:rowOff>30480</xdr:rowOff>
    </xdr:from>
    <xdr:to>
      <xdr:col>3</xdr:col>
      <xdr:colOff>1266825</xdr:colOff>
      <xdr:row>79</xdr:row>
      <xdr:rowOff>1257300</xdr:rowOff>
    </xdr:to>
    <xdr:pic>
      <xdr:nvPicPr>
        <xdr:cNvPr id="145" name="ID_C62E41DBA38F40EF99DD522A42373AE2" descr="202-47 (3)"/>
        <xdr:cNvPicPr>
          <a:picLocks noChangeAspect="1"/>
        </xdr:cNvPicPr>
      </xdr:nvPicPr>
      <xdr:blipFill>
        <a:blip r:embed="rId137"/>
        <a:stretch>
          <a:fillRect/>
        </a:stretch>
      </xdr:blipFill>
      <xdr:spPr>
        <a:xfrm>
          <a:off x="1924050" y="97985580"/>
          <a:ext cx="1247775" cy="122682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80</xdr:row>
      <xdr:rowOff>22225</xdr:rowOff>
    </xdr:from>
    <xdr:to>
      <xdr:col>3</xdr:col>
      <xdr:colOff>1266825</xdr:colOff>
      <xdr:row>80</xdr:row>
      <xdr:rowOff>1266825</xdr:rowOff>
    </xdr:to>
    <xdr:pic>
      <xdr:nvPicPr>
        <xdr:cNvPr id="146" name="ID_4229D5E7B4504898AC51C21839306F8F" descr="202-50 (3)"/>
        <xdr:cNvPicPr>
          <a:picLocks noChangeAspect="1"/>
        </xdr:cNvPicPr>
      </xdr:nvPicPr>
      <xdr:blipFill>
        <a:blip r:embed="rId138"/>
        <a:stretch>
          <a:fillRect/>
        </a:stretch>
      </xdr:blipFill>
      <xdr:spPr>
        <a:xfrm>
          <a:off x="1924050" y="99247325"/>
          <a:ext cx="1247775" cy="124460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81</xdr:row>
      <xdr:rowOff>21590</xdr:rowOff>
    </xdr:from>
    <xdr:to>
      <xdr:col>3</xdr:col>
      <xdr:colOff>1266825</xdr:colOff>
      <xdr:row>81</xdr:row>
      <xdr:rowOff>1257300</xdr:rowOff>
    </xdr:to>
    <xdr:pic>
      <xdr:nvPicPr>
        <xdr:cNvPr id="147" name="ID_AF3782FF27DE491CB94196D5D4BCC799" descr="202-51 (3)"/>
        <xdr:cNvPicPr>
          <a:picLocks noChangeAspect="1"/>
        </xdr:cNvPicPr>
      </xdr:nvPicPr>
      <xdr:blipFill>
        <a:blip r:embed="rId139"/>
        <a:stretch>
          <a:fillRect/>
        </a:stretch>
      </xdr:blipFill>
      <xdr:spPr>
        <a:xfrm>
          <a:off x="1924050" y="100516690"/>
          <a:ext cx="1247775" cy="123571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82</xdr:row>
      <xdr:rowOff>21590</xdr:rowOff>
    </xdr:from>
    <xdr:to>
      <xdr:col>3</xdr:col>
      <xdr:colOff>1266825</xdr:colOff>
      <xdr:row>82</xdr:row>
      <xdr:rowOff>1257300</xdr:rowOff>
    </xdr:to>
    <xdr:pic>
      <xdr:nvPicPr>
        <xdr:cNvPr id="148" name="ID_ECD9F241927744B4BBADDFAAC7151C19" descr="202-55 (3)"/>
        <xdr:cNvPicPr>
          <a:picLocks noChangeAspect="1"/>
        </xdr:cNvPicPr>
      </xdr:nvPicPr>
      <xdr:blipFill>
        <a:blip r:embed="rId140"/>
        <a:stretch>
          <a:fillRect/>
        </a:stretch>
      </xdr:blipFill>
      <xdr:spPr>
        <a:xfrm>
          <a:off x="1924050" y="101786690"/>
          <a:ext cx="1247775" cy="1235710"/>
        </a:xfrm>
        <a:prstGeom prst="rect">
          <a:avLst/>
        </a:prstGeom>
      </xdr:spPr>
    </xdr:pic>
    <xdr:clientData/>
  </xdr:twoCellAnchor>
  <xdr:twoCellAnchor editAs="oneCell">
    <xdr:from>
      <xdr:col>3</xdr:col>
      <xdr:colOff>19050</xdr:colOff>
      <xdr:row>75</xdr:row>
      <xdr:rowOff>22225</xdr:rowOff>
    </xdr:from>
    <xdr:to>
      <xdr:col>3</xdr:col>
      <xdr:colOff>1266825</xdr:colOff>
      <xdr:row>75</xdr:row>
      <xdr:rowOff>1256665</xdr:rowOff>
    </xdr:to>
    <xdr:pic>
      <xdr:nvPicPr>
        <xdr:cNvPr id="149" name="ID_5E1E48EEE02B465E8430BE8BBD1D44C0" descr="202-37 (3)"/>
        <xdr:cNvPicPr>
          <a:picLocks noChangeAspect="1"/>
        </xdr:cNvPicPr>
      </xdr:nvPicPr>
      <xdr:blipFill>
        <a:blip r:embed="rId141"/>
        <a:stretch>
          <a:fillRect/>
        </a:stretch>
      </xdr:blipFill>
      <xdr:spPr>
        <a:xfrm>
          <a:off x="1924050" y="92897325"/>
          <a:ext cx="1247775" cy="12344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51"/>
  <sheetViews>
    <sheetView tabSelected="1" workbookViewId="0">
      <pane ySplit="2" topLeftCell="A3" activePane="bottomLeft" state="frozen"/>
      <selection/>
      <selection pane="bottomLeft" activeCell="A1" sqref="A1:AA1"/>
    </sheetView>
  </sheetViews>
  <sheetFormatPr defaultColWidth="9" defaultRowHeight="15.75"/>
  <cols>
    <col min="1" max="1" width="7.25" style="4" customWidth="1"/>
    <col min="2" max="3" width="8.875" style="3" customWidth="1"/>
    <col min="4" max="4" width="16.75" style="3" customWidth="1"/>
    <col min="5" max="5" width="15.875" style="3" customWidth="1"/>
    <col min="6" max="7" width="14.375" style="3" customWidth="1"/>
    <col min="8" max="9" width="6.5" style="3" customWidth="1"/>
    <col min="10" max="12" width="3.75" style="3" hidden="1" customWidth="1"/>
    <col min="13" max="13" width="10.75" style="3" customWidth="1"/>
    <col min="14" max="15" width="7.75" style="3" customWidth="1"/>
    <col min="16" max="16" width="7.375" style="3" customWidth="1"/>
    <col min="17" max="17" width="10.25" style="3" customWidth="1"/>
    <col min="18" max="18" width="9.375" style="3" customWidth="1"/>
    <col min="19" max="19" width="8.625" style="3" customWidth="1"/>
    <col min="20" max="20" width="11.5" style="4" customWidth="1"/>
    <col min="21" max="23" width="4" style="3" hidden="1" customWidth="1"/>
    <col min="24" max="27" width="8.125" style="3" customWidth="1"/>
    <col min="30" max="30" width="10.625"/>
  </cols>
  <sheetData>
    <row r="1" ht="30" customHeight="1" spans="1:27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59" customHeight="1" spans="1:27">
      <c r="A2" s="7" t="s">
        <v>1</v>
      </c>
      <c r="B2" s="7" t="s">
        <v>2</v>
      </c>
      <c r="C2" s="7" t="s">
        <v>3</v>
      </c>
      <c r="D2" s="8" t="s">
        <v>4</v>
      </c>
      <c r="E2" s="9" t="s">
        <v>5</v>
      </c>
      <c r="F2" s="7" t="s">
        <v>6</v>
      </c>
      <c r="G2" s="7" t="s">
        <v>7</v>
      </c>
      <c r="H2" s="7" t="s">
        <v>8</v>
      </c>
      <c r="I2" s="7"/>
      <c r="J2" s="10" t="s">
        <v>9</v>
      </c>
      <c r="K2" s="7"/>
      <c r="L2" s="7"/>
      <c r="M2" s="7" t="s">
        <v>10</v>
      </c>
      <c r="N2" s="7" t="s">
        <v>11</v>
      </c>
      <c r="O2" s="7" t="s">
        <v>12</v>
      </c>
      <c r="P2" s="7" t="s">
        <v>13</v>
      </c>
      <c r="Q2" s="7" t="s">
        <v>14</v>
      </c>
      <c r="R2" s="7" t="s">
        <v>15</v>
      </c>
      <c r="S2" s="11" t="s">
        <v>16</v>
      </c>
      <c r="T2" s="12" t="s">
        <v>17</v>
      </c>
      <c r="U2" s="7" t="s">
        <v>18</v>
      </c>
      <c r="V2" s="7"/>
      <c r="W2" s="7"/>
      <c r="X2" s="13" t="s">
        <v>19</v>
      </c>
      <c r="Y2" s="13" t="s">
        <v>20</v>
      </c>
      <c r="Z2" s="7" t="s">
        <v>21</v>
      </c>
      <c r="AA2" s="7" t="s">
        <v>22</v>
      </c>
    </row>
    <row r="3" s="1" customFormat="1" ht="24" customHeight="1" spans="1:27">
      <c r="A3" s="14" t="s">
        <v>23</v>
      </c>
      <c r="B3" s="15" t="s">
        <v>24</v>
      </c>
      <c r="C3" s="15" t="s">
        <v>25</v>
      </c>
      <c r="D3" s="16" t="s">
        <v>26</v>
      </c>
      <c r="E3" s="17" t="s">
        <v>27</v>
      </c>
      <c r="F3" s="15" t="s">
        <v>28</v>
      </c>
      <c r="G3" s="15" t="s">
        <v>29</v>
      </c>
      <c r="H3" s="15" t="s">
        <v>30</v>
      </c>
      <c r="I3" s="15" t="s">
        <v>31</v>
      </c>
      <c r="J3" s="15" t="s">
        <v>32</v>
      </c>
      <c r="K3" s="15" t="s">
        <v>33</v>
      </c>
      <c r="L3" s="15" t="s">
        <v>34</v>
      </c>
      <c r="M3" s="15" t="s">
        <v>35</v>
      </c>
      <c r="N3" s="15" t="s">
        <v>36</v>
      </c>
      <c r="O3" s="15" t="s">
        <v>37</v>
      </c>
      <c r="P3" s="15" t="s">
        <v>38</v>
      </c>
      <c r="Q3" s="15" t="s">
        <v>39</v>
      </c>
      <c r="R3" s="15" t="s">
        <v>40</v>
      </c>
      <c r="S3" s="18" t="s">
        <v>41</v>
      </c>
      <c r="T3" s="19" t="s">
        <v>42</v>
      </c>
      <c r="U3" s="15" t="s">
        <v>32</v>
      </c>
      <c r="V3" s="15" t="s">
        <v>33</v>
      </c>
      <c r="W3" s="15" t="s">
        <v>34</v>
      </c>
      <c r="X3" s="20" t="s">
        <v>43</v>
      </c>
      <c r="Y3" s="20" t="s">
        <v>44</v>
      </c>
      <c r="Z3" s="15" t="s">
        <v>45</v>
      </c>
      <c r="AA3" s="15" t="s">
        <v>46</v>
      </c>
    </row>
    <row r="4" ht="100" customHeight="1" spans="1:27">
      <c r="A4" s="21" t="s">
        <v>47</v>
      </c>
      <c r="B4" s="22" t="s">
        <v>48</v>
      </c>
      <c r="C4" s="23" t="s">
        <v>48</v>
      </c>
      <c r="D4" s="24"/>
      <c r="E4" s="25" t="s">
        <v>49</v>
      </c>
      <c r="F4" s="23" t="s">
        <v>50</v>
      </c>
      <c r="G4" s="23" t="s">
        <v>50</v>
      </c>
      <c r="H4" s="22">
        <v>3</v>
      </c>
      <c r="I4" s="26">
        <v>0</v>
      </c>
      <c r="J4" s="22">
        <v>16</v>
      </c>
      <c r="K4" s="26">
        <v>9.5</v>
      </c>
      <c r="L4" s="27">
        <v>4</v>
      </c>
      <c r="M4" s="23" t="s">
        <v>51</v>
      </c>
      <c r="N4" s="28">
        <v>2</v>
      </c>
      <c r="O4" s="23">
        <v>360</v>
      </c>
      <c r="P4" s="23" t="s">
        <v>52</v>
      </c>
      <c r="Q4" s="22" t="s">
        <v>53</v>
      </c>
      <c r="R4" s="29">
        <f>N4*O4</f>
        <v>720</v>
      </c>
      <c r="S4" s="30">
        <v>8.3</v>
      </c>
      <c r="T4" s="31">
        <f>R4*S4</f>
        <v>5976</v>
      </c>
      <c r="U4" s="22">
        <v>63</v>
      </c>
      <c r="V4" s="26">
        <v>50</v>
      </c>
      <c r="W4" s="27">
        <v>55</v>
      </c>
      <c r="X4" s="32">
        <f>(U4*V4*W4)/1000000</f>
        <v>0.17325</v>
      </c>
      <c r="Y4" s="33">
        <f>X4*N4</f>
        <v>0.3465</v>
      </c>
      <c r="Z4" s="23">
        <v>38.3</v>
      </c>
      <c r="AA4" s="34">
        <f>Z4*N4</f>
        <v>76.6</v>
      </c>
    </row>
    <row r="5" ht="100" customHeight="1" spans="1:27">
      <c r="A5" s="21" t="s">
        <v>54</v>
      </c>
      <c r="B5" s="22" t="s">
        <v>55</v>
      </c>
      <c r="C5" s="23" t="s">
        <v>55</v>
      </c>
      <c r="D5" s="24"/>
      <c r="E5" s="25" t="s">
        <v>49</v>
      </c>
      <c r="F5" s="23" t="s">
        <v>50</v>
      </c>
      <c r="G5" s="23" t="s">
        <v>50</v>
      </c>
      <c r="H5" s="22">
        <v>3</v>
      </c>
      <c r="I5" s="26">
        <v>0</v>
      </c>
      <c r="J5" s="22">
        <v>18</v>
      </c>
      <c r="K5" s="26">
        <v>12</v>
      </c>
      <c r="L5" s="27">
        <v>4</v>
      </c>
      <c r="M5" s="23" t="s">
        <v>51</v>
      </c>
      <c r="N5" s="28">
        <v>3</v>
      </c>
      <c r="O5" s="23">
        <v>240</v>
      </c>
      <c r="P5" s="23" t="s">
        <v>52</v>
      </c>
      <c r="Q5" s="22" t="s">
        <v>53</v>
      </c>
      <c r="R5" s="29">
        <f>N5*O5</f>
        <v>720</v>
      </c>
      <c r="S5" s="30">
        <v>8.8</v>
      </c>
      <c r="T5" s="31">
        <f>R5*S5</f>
        <v>6336</v>
      </c>
      <c r="U5" s="22">
        <v>65</v>
      </c>
      <c r="V5" s="26">
        <v>47</v>
      </c>
      <c r="W5" s="27">
        <v>50</v>
      </c>
      <c r="X5" s="32">
        <f>(U5*V5*W5)/1000000</f>
        <v>0.15275</v>
      </c>
      <c r="Y5" s="33">
        <f>X5*N5</f>
        <v>0.45825</v>
      </c>
      <c r="Z5" s="23">
        <v>28.9</v>
      </c>
      <c r="AA5" s="34">
        <f>Z5*N5</f>
        <v>86.7</v>
      </c>
    </row>
    <row r="6" ht="100" customHeight="1" spans="1:27">
      <c r="A6" s="21" t="s">
        <v>56</v>
      </c>
      <c r="B6" s="22" t="s">
        <v>57</v>
      </c>
      <c r="C6" s="23" t="s">
        <v>57</v>
      </c>
      <c r="D6" s="24"/>
      <c r="E6" s="25" t="s">
        <v>49</v>
      </c>
      <c r="F6" s="23" t="s">
        <v>50</v>
      </c>
      <c r="G6" s="23" t="s">
        <v>50</v>
      </c>
      <c r="H6" s="22">
        <v>3</v>
      </c>
      <c r="I6" s="26">
        <v>0</v>
      </c>
      <c r="J6" s="22">
        <v>18</v>
      </c>
      <c r="K6" s="26">
        <v>12</v>
      </c>
      <c r="L6" s="27">
        <v>8</v>
      </c>
      <c r="M6" s="23" t="s">
        <v>51</v>
      </c>
      <c r="N6" s="28">
        <v>2</v>
      </c>
      <c r="O6" s="23">
        <v>240</v>
      </c>
      <c r="P6" s="23" t="s">
        <v>52</v>
      </c>
      <c r="Q6" s="22" t="s">
        <v>53</v>
      </c>
      <c r="R6" s="29">
        <f>N6*O6</f>
        <v>480</v>
      </c>
      <c r="S6" s="30">
        <v>9.6</v>
      </c>
      <c r="T6" s="31">
        <f>R6*S6</f>
        <v>4608</v>
      </c>
      <c r="U6" s="22">
        <v>69</v>
      </c>
      <c r="V6" s="26">
        <v>42</v>
      </c>
      <c r="W6" s="27">
        <v>50</v>
      </c>
      <c r="X6" s="32">
        <f>(U6*V6*W6)/1000000</f>
        <v>0.1449</v>
      </c>
      <c r="Y6" s="33">
        <f>X6*N6</f>
        <v>0.2898</v>
      </c>
      <c r="Z6" s="23">
        <v>29</v>
      </c>
      <c r="AA6" s="34">
        <f>Z6*N6</f>
        <v>58</v>
      </c>
    </row>
    <row r="7" ht="100" customHeight="1" spans="1:27">
      <c r="A7" s="21" t="s">
        <v>58</v>
      </c>
      <c r="B7" s="22" t="s">
        <v>59</v>
      </c>
      <c r="C7" s="23" t="s">
        <v>59</v>
      </c>
      <c r="D7" s="24"/>
      <c r="E7" s="25" t="s">
        <v>60</v>
      </c>
      <c r="F7" s="23" t="s">
        <v>61</v>
      </c>
      <c r="G7" s="23" t="s">
        <v>62</v>
      </c>
      <c r="H7" s="22">
        <v>4</v>
      </c>
      <c r="I7" s="26">
        <v>0</v>
      </c>
      <c r="J7" s="22">
        <v>25</v>
      </c>
      <c r="K7" s="26">
        <v>23</v>
      </c>
      <c r="L7" s="27">
        <v>11</v>
      </c>
      <c r="M7" s="23" t="s">
        <v>51</v>
      </c>
      <c r="N7" s="28">
        <v>4</v>
      </c>
      <c r="O7" s="23">
        <v>180</v>
      </c>
      <c r="P7" s="23" t="s">
        <v>52</v>
      </c>
      <c r="Q7" s="22" t="s">
        <v>63</v>
      </c>
      <c r="R7" s="29">
        <f t="shared" ref="R7:R62" si="0">N7*O7</f>
        <v>720</v>
      </c>
      <c r="S7" s="30">
        <v>7</v>
      </c>
      <c r="T7" s="31">
        <f t="shared" ref="T7:T62" si="1">R7*S7</f>
        <v>5040</v>
      </c>
      <c r="U7" s="22">
        <v>58</v>
      </c>
      <c r="V7" s="26">
        <v>40</v>
      </c>
      <c r="W7" s="27">
        <v>75</v>
      </c>
      <c r="X7" s="32">
        <f t="shared" ref="X7:X62" si="2">(U7*V7*W7)/1000000</f>
        <v>0.174</v>
      </c>
      <c r="Y7" s="33">
        <f t="shared" ref="Y7:Y62" si="3">X7*N7</f>
        <v>0.696</v>
      </c>
      <c r="Z7" s="23">
        <v>37.6</v>
      </c>
      <c r="AA7" s="34">
        <f t="shared" ref="AA7:AA62" si="4">Z7*N7</f>
        <v>150.4</v>
      </c>
    </row>
    <row r="8" ht="100" customHeight="1" spans="1:27">
      <c r="A8" s="21" t="s">
        <v>64</v>
      </c>
      <c r="B8" s="22" t="s">
        <v>65</v>
      </c>
      <c r="C8" s="23" t="s">
        <v>65</v>
      </c>
      <c r="D8" s="24"/>
      <c r="E8" s="25" t="s">
        <v>60</v>
      </c>
      <c r="F8" s="23" t="s">
        <v>61</v>
      </c>
      <c r="G8" s="23" t="s">
        <v>62</v>
      </c>
      <c r="H8" s="22">
        <v>2</v>
      </c>
      <c r="I8" s="26">
        <v>0</v>
      </c>
      <c r="J8" s="22">
        <v>19</v>
      </c>
      <c r="K8" s="26">
        <v>13</v>
      </c>
      <c r="L8" s="27">
        <v>11</v>
      </c>
      <c r="M8" s="23" t="s">
        <v>51</v>
      </c>
      <c r="N8" s="28">
        <v>2</v>
      </c>
      <c r="O8" s="23">
        <v>360</v>
      </c>
      <c r="P8" s="23" t="s">
        <v>52</v>
      </c>
      <c r="Q8" s="22" t="s">
        <v>63</v>
      </c>
      <c r="R8" s="29">
        <f t="shared" si="0"/>
        <v>720</v>
      </c>
      <c r="S8" s="30">
        <v>7.3</v>
      </c>
      <c r="T8" s="31">
        <f t="shared" si="1"/>
        <v>5256</v>
      </c>
      <c r="U8" s="22">
        <v>58</v>
      </c>
      <c r="V8" s="26">
        <v>40</v>
      </c>
      <c r="W8" s="27">
        <v>75</v>
      </c>
      <c r="X8" s="32">
        <f t="shared" si="2"/>
        <v>0.174</v>
      </c>
      <c r="Y8" s="33">
        <f t="shared" si="3"/>
        <v>0.348</v>
      </c>
      <c r="Z8" s="23">
        <v>47.7</v>
      </c>
      <c r="AA8" s="34">
        <f t="shared" si="4"/>
        <v>95.4</v>
      </c>
    </row>
    <row r="9" ht="100" customHeight="1" spans="1:27">
      <c r="A9" s="21" t="s">
        <v>66</v>
      </c>
      <c r="B9" s="22" t="s">
        <v>67</v>
      </c>
      <c r="C9" s="23" t="s">
        <v>67</v>
      </c>
      <c r="D9" s="24"/>
      <c r="E9" s="25" t="s">
        <v>60</v>
      </c>
      <c r="F9" s="23" t="s">
        <v>61</v>
      </c>
      <c r="G9" s="23" t="s">
        <v>62</v>
      </c>
      <c r="H9" s="22">
        <v>3</v>
      </c>
      <c r="I9" s="26">
        <v>0</v>
      </c>
      <c r="J9" s="22">
        <v>30</v>
      </c>
      <c r="K9" s="26">
        <v>20</v>
      </c>
      <c r="L9" s="27">
        <v>10</v>
      </c>
      <c r="M9" s="23" t="s">
        <v>51</v>
      </c>
      <c r="N9" s="28">
        <v>3</v>
      </c>
      <c r="O9" s="23">
        <v>240</v>
      </c>
      <c r="P9" s="23" t="s">
        <v>52</v>
      </c>
      <c r="Q9" s="22" t="s">
        <v>63</v>
      </c>
      <c r="R9" s="29">
        <f t="shared" si="0"/>
        <v>720</v>
      </c>
      <c r="S9" s="30">
        <v>6.2</v>
      </c>
      <c r="T9" s="31">
        <f t="shared" si="1"/>
        <v>4464</v>
      </c>
      <c r="U9" s="22">
        <v>58</v>
      </c>
      <c r="V9" s="26">
        <v>40</v>
      </c>
      <c r="W9" s="27">
        <v>75</v>
      </c>
      <c r="X9" s="32">
        <f t="shared" si="2"/>
        <v>0.174</v>
      </c>
      <c r="Y9" s="33">
        <f t="shared" si="3"/>
        <v>0.522</v>
      </c>
      <c r="Z9" s="23">
        <v>44</v>
      </c>
      <c r="AA9" s="34">
        <f t="shared" si="4"/>
        <v>132</v>
      </c>
    </row>
    <row r="10" ht="100" customHeight="1" spans="1:27">
      <c r="A10" s="21" t="s">
        <v>68</v>
      </c>
      <c r="B10" s="22" t="s">
        <v>69</v>
      </c>
      <c r="C10" s="23" t="s">
        <v>69</v>
      </c>
      <c r="D10" s="24"/>
      <c r="E10" s="25" t="s">
        <v>60</v>
      </c>
      <c r="F10" s="23" t="s">
        <v>70</v>
      </c>
      <c r="G10" s="23" t="s">
        <v>50</v>
      </c>
      <c r="H10" s="22">
        <v>4</v>
      </c>
      <c r="I10" s="26">
        <v>0</v>
      </c>
      <c r="J10" s="22">
        <v>25</v>
      </c>
      <c r="K10" s="26">
        <v>23</v>
      </c>
      <c r="L10" s="27">
        <v>12</v>
      </c>
      <c r="M10" s="23" t="s">
        <v>51</v>
      </c>
      <c r="N10" s="28">
        <v>4</v>
      </c>
      <c r="O10" s="23">
        <v>180</v>
      </c>
      <c r="P10" s="23" t="s">
        <v>52</v>
      </c>
      <c r="Q10" s="22" t="s">
        <v>63</v>
      </c>
      <c r="R10" s="29">
        <f t="shared" si="0"/>
        <v>720</v>
      </c>
      <c r="S10" s="30">
        <v>8</v>
      </c>
      <c r="T10" s="31">
        <f t="shared" si="1"/>
        <v>5760</v>
      </c>
      <c r="U10" s="22">
        <v>58</v>
      </c>
      <c r="V10" s="26">
        <v>40</v>
      </c>
      <c r="W10" s="27">
        <v>75</v>
      </c>
      <c r="X10" s="32">
        <f t="shared" si="2"/>
        <v>0.174</v>
      </c>
      <c r="Y10" s="33">
        <f t="shared" si="3"/>
        <v>0.696</v>
      </c>
      <c r="Z10" s="23">
        <v>44</v>
      </c>
      <c r="AA10" s="34">
        <f t="shared" si="4"/>
        <v>176</v>
      </c>
    </row>
    <row r="11" ht="100" customHeight="1" spans="1:27">
      <c r="A11" s="21" t="s">
        <v>71</v>
      </c>
      <c r="B11" s="22" t="s">
        <v>72</v>
      </c>
      <c r="C11" s="23" t="s">
        <v>72</v>
      </c>
      <c r="D11" s="24"/>
      <c r="E11" s="25" t="s">
        <v>73</v>
      </c>
      <c r="F11" s="23" t="s">
        <v>70</v>
      </c>
      <c r="G11" s="23" t="s">
        <v>62</v>
      </c>
      <c r="H11" s="22">
        <v>1</v>
      </c>
      <c r="I11" s="26">
        <v>0</v>
      </c>
      <c r="J11" s="22">
        <v>4.5</v>
      </c>
      <c r="K11" s="26">
        <v>9.5</v>
      </c>
      <c r="L11" s="27">
        <v>4.5</v>
      </c>
      <c r="M11" s="23" t="s">
        <v>51</v>
      </c>
      <c r="N11" s="28">
        <v>2</v>
      </c>
      <c r="O11" s="23">
        <v>600</v>
      </c>
      <c r="P11" s="23" t="s">
        <v>52</v>
      </c>
      <c r="Q11" s="22" t="s">
        <v>63</v>
      </c>
      <c r="R11" s="29">
        <f t="shared" si="0"/>
        <v>1200</v>
      </c>
      <c r="S11" s="30">
        <v>3.6</v>
      </c>
      <c r="T11" s="31">
        <f t="shared" si="1"/>
        <v>4320</v>
      </c>
      <c r="U11" s="22">
        <v>65</v>
      </c>
      <c r="V11" s="26">
        <v>50</v>
      </c>
      <c r="W11" s="27">
        <v>53</v>
      </c>
      <c r="X11" s="32">
        <f t="shared" si="2"/>
        <v>0.17225</v>
      </c>
      <c r="Y11" s="33">
        <f t="shared" si="3"/>
        <v>0.3445</v>
      </c>
      <c r="Z11" s="23">
        <v>21.8</v>
      </c>
      <c r="AA11" s="34">
        <f t="shared" si="4"/>
        <v>43.6</v>
      </c>
    </row>
    <row r="12" ht="100" customHeight="1" spans="1:27">
      <c r="A12" s="21" t="s">
        <v>74</v>
      </c>
      <c r="B12" s="22" t="s">
        <v>75</v>
      </c>
      <c r="C12" s="23" t="s">
        <v>75</v>
      </c>
      <c r="D12" s="24"/>
      <c r="E12" s="25" t="s">
        <v>73</v>
      </c>
      <c r="F12" s="23" t="s">
        <v>70</v>
      </c>
      <c r="G12" s="23" t="s">
        <v>62</v>
      </c>
      <c r="H12" s="22">
        <v>1</v>
      </c>
      <c r="I12" s="26">
        <v>0</v>
      </c>
      <c r="J12" s="22">
        <v>4.5</v>
      </c>
      <c r="K12" s="26">
        <v>9.5</v>
      </c>
      <c r="L12" s="27">
        <v>4.5</v>
      </c>
      <c r="M12" s="23" t="s">
        <v>51</v>
      </c>
      <c r="N12" s="28">
        <v>2</v>
      </c>
      <c r="O12" s="23">
        <v>600</v>
      </c>
      <c r="P12" s="23" t="s">
        <v>52</v>
      </c>
      <c r="Q12" s="22" t="s">
        <v>63</v>
      </c>
      <c r="R12" s="29">
        <f t="shared" si="0"/>
        <v>1200</v>
      </c>
      <c r="S12" s="30">
        <v>3.55</v>
      </c>
      <c r="T12" s="31">
        <f t="shared" si="1"/>
        <v>4260</v>
      </c>
      <c r="U12" s="22">
        <v>65</v>
      </c>
      <c r="V12" s="26">
        <v>50</v>
      </c>
      <c r="W12" s="27">
        <v>53</v>
      </c>
      <c r="X12" s="32">
        <f t="shared" si="2"/>
        <v>0.17225</v>
      </c>
      <c r="Y12" s="33">
        <f t="shared" si="3"/>
        <v>0.3445</v>
      </c>
      <c r="Z12" s="23">
        <v>24.6</v>
      </c>
      <c r="AA12" s="34">
        <f t="shared" si="4"/>
        <v>49.2</v>
      </c>
    </row>
    <row r="13" ht="100" customHeight="1" spans="1:27">
      <c r="A13" s="21" t="s">
        <v>76</v>
      </c>
      <c r="B13" s="22" t="s">
        <v>77</v>
      </c>
      <c r="C13" s="23" t="s">
        <v>77</v>
      </c>
      <c r="D13" s="24"/>
      <c r="E13" s="25" t="s">
        <v>73</v>
      </c>
      <c r="F13" s="23" t="s">
        <v>70</v>
      </c>
      <c r="G13" s="23" t="s">
        <v>62</v>
      </c>
      <c r="H13" s="22">
        <v>1</v>
      </c>
      <c r="I13" s="26">
        <v>0</v>
      </c>
      <c r="J13" s="22">
        <v>4.5</v>
      </c>
      <c r="K13" s="26">
        <v>9.5</v>
      </c>
      <c r="L13" s="27">
        <v>4.5</v>
      </c>
      <c r="M13" s="23" t="s">
        <v>51</v>
      </c>
      <c r="N13" s="28">
        <v>2</v>
      </c>
      <c r="O13" s="23">
        <v>600</v>
      </c>
      <c r="P13" s="23" t="s">
        <v>52</v>
      </c>
      <c r="Q13" s="22" t="s">
        <v>63</v>
      </c>
      <c r="R13" s="29">
        <f t="shared" si="0"/>
        <v>1200</v>
      </c>
      <c r="S13" s="30">
        <v>3.55</v>
      </c>
      <c r="T13" s="31">
        <f t="shared" si="1"/>
        <v>4260</v>
      </c>
      <c r="U13" s="22">
        <v>65</v>
      </c>
      <c r="V13" s="26">
        <v>50</v>
      </c>
      <c r="W13" s="27">
        <v>53</v>
      </c>
      <c r="X13" s="32">
        <f t="shared" si="2"/>
        <v>0.17225</v>
      </c>
      <c r="Y13" s="33">
        <f t="shared" si="3"/>
        <v>0.3445</v>
      </c>
      <c r="Z13" s="23">
        <v>25</v>
      </c>
      <c r="AA13" s="34">
        <f t="shared" si="4"/>
        <v>50</v>
      </c>
    </row>
    <row r="14" ht="100" customHeight="1" spans="1:27">
      <c r="A14" s="21" t="s">
        <v>78</v>
      </c>
      <c r="B14" s="22" t="s">
        <v>79</v>
      </c>
      <c r="C14" s="23" t="s">
        <v>79</v>
      </c>
      <c r="D14" s="24"/>
      <c r="E14" s="25" t="s">
        <v>73</v>
      </c>
      <c r="F14" s="23" t="s">
        <v>70</v>
      </c>
      <c r="G14" s="23" t="s">
        <v>62</v>
      </c>
      <c r="H14" s="22">
        <v>1</v>
      </c>
      <c r="I14" s="26">
        <v>0</v>
      </c>
      <c r="J14" s="22">
        <v>4.5</v>
      </c>
      <c r="K14" s="26">
        <v>9.5</v>
      </c>
      <c r="L14" s="27">
        <v>4.5</v>
      </c>
      <c r="M14" s="23" t="s">
        <v>51</v>
      </c>
      <c r="N14" s="28">
        <v>2</v>
      </c>
      <c r="O14" s="23">
        <v>600</v>
      </c>
      <c r="P14" s="23" t="s">
        <v>52</v>
      </c>
      <c r="Q14" s="22" t="s">
        <v>63</v>
      </c>
      <c r="R14" s="29">
        <f t="shared" si="0"/>
        <v>1200</v>
      </c>
      <c r="S14" s="30">
        <v>3.35</v>
      </c>
      <c r="T14" s="31">
        <f t="shared" si="1"/>
        <v>4020</v>
      </c>
      <c r="U14" s="22">
        <v>65</v>
      </c>
      <c r="V14" s="26">
        <v>50</v>
      </c>
      <c r="W14" s="27">
        <v>53</v>
      </c>
      <c r="X14" s="32">
        <f t="shared" si="2"/>
        <v>0.17225</v>
      </c>
      <c r="Y14" s="33">
        <f t="shared" si="3"/>
        <v>0.3445</v>
      </c>
      <c r="Z14" s="23">
        <v>24</v>
      </c>
      <c r="AA14" s="34">
        <f t="shared" si="4"/>
        <v>48</v>
      </c>
    </row>
    <row r="15" ht="100" customHeight="1" spans="1:27">
      <c r="A15" s="21" t="s">
        <v>80</v>
      </c>
      <c r="B15" s="22" t="s">
        <v>81</v>
      </c>
      <c r="C15" s="23" t="s">
        <v>81</v>
      </c>
      <c r="D15" s="24"/>
      <c r="E15" s="25" t="s">
        <v>49</v>
      </c>
      <c r="F15" s="23" t="s">
        <v>70</v>
      </c>
      <c r="G15" s="23" t="s">
        <v>82</v>
      </c>
      <c r="H15" s="22">
        <v>3</v>
      </c>
      <c r="I15" s="26">
        <v>0</v>
      </c>
      <c r="J15" s="22">
        <v>18</v>
      </c>
      <c r="K15" s="26">
        <v>11</v>
      </c>
      <c r="L15" s="27">
        <v>6.5</v>
      </c>
      <c r="M15" s="23" t="s">
        <v>51</v>
      </c>
      <c r="N15" s="28">
        <v>5</v>
      </c>
      <c r="O15" s="23">
        <v>120</v>
      </c>
      <c r="P15" s="23" t="s">
        <v>52</v>
      </c>
      <c r="Q15" s="22" t="s">
        <v>63</v>
      </c>
      <c r="R15" s="29">
        <f t="shared" si="0"/>
        <v>600</v>
      </c>
      <c r="S15" s="30">
        <v>11</v>
      </c>
      <c r="T15" s="31">
        <f t="shared" si="1"/>
        <v>6600</v>
      </c>
      <c r="U15" s="22">
        <v>56</v>
      </c>
      <c r="V15" s="26">
        <v>56</v>
      </c>
      <c r="W15" s="27">
        <v>59</v>
      </c>
      <c r="X15" s="32">
        <f t="shared" si="2"/>
        <v>0.185024</v>
      </c>
      <c r="Y15" s="33">
        <f t="shared" si="3"/>
        <v>0.92512</v>
      </c>
      <c r="Z15" s="23">
        <v>32</v>
      </c>
      <c r="AA15" s="34">
        <f t="shared" si="4"/>
        <v>160</v>
      </c>
    </row>
    <row r="16" ht="100" customHeight="1" spans="1:27">
      <c r="A16" s="21" t="s">
        <v>83</v>
      </c>
      <c r="B16" s="22" t="s">
        <v>84</v>
      </c>
      <c r="C16" s="23" t="s">
        <v>84</v>
      </c>
      <c r="D16" s="24"/>
      <c r="E16" s="25" t="s">
        <v>49</v>
      </c>
      <c r="F16" s="23" t="s">
        <v>70</v>
      </c>
      <c r="G16" s="23" t="s">
        <v>82</v>
      </c>
      <c r="H16" s="22">
        <v>3</v>
      </c>
      <c r="I16" s="26">
        <v>0</v>
      </c>
      <c r="J16" s="22">
        <v>18</v>
      </c>
      <c r="K16" s="26">
        <v>11</v>
      </c>
      <c r="L16" s="27">
        <v>6.5</v>
      </c>
      <c r="M16" s="23" t="s">
        <v>51</v>
      </c>
      <c r="N16" s="28">
        <v>5</v>
      </c>
      <c r="O16" s="23">
        <v>120</v>
      </c>
      <c r="P16" s="23" t="s">
        <v>52</v>
      </c>
      <c r="Q16" s="22" t="s">
        <v>63</v>
      </c>
      <c r="R16" s="29">
        <f t="shared" si="0"/>
        <v>600</v>
      </c>
      <c r="S16" s="30">
        <v>11</v>
      </c>
      <c r="T16" s="31">
        <f t="shared" si="1"/>
        <v>6600</v>
      </c>
      <c r="U16" s="22">
        <v>56</v>
      </c>
      <c r="V16" s="26">
        <v>56</v>
      </c>
      <c r="W16" s="27">
        <v>59</v>
      </c>
      <c r="X16" s="32">
        <f t="shared" si="2"/>
        <v>0.185024</v>
      </c>
      <c r="Y16" s="33">
        <f t="shared" si="3"/>
        <v>0.92512</v>
      </c>
      <c r="Z16" s="23">
        <v>34</v>
      </c>
      <c r="AA16" s="34">
        <f t="shared" si="4"/>
        <v>170</v>
      </c>
    </row>
    <row r="17" ht="100" customHeight="1" spans="1:27">
      <c r="A17" s="21" t="s">
        <v>85</v>
      </c>
      <c r="B17" s="22" t="s">
        <v>86</v>
      </c>
      <c r="C17" s="23" t="s">
        <v>86</v>
      </c>
      <c r="D17" s="24"/>
      <c r="E17" s="25" t="s">
        <v>49</v>
      </c>
      <c r="F17" s="23" t="s">
        <v>70</v>
      </c>
      <c r="G17" s="23" t="s">
        <v>82</v>
      </c>
      <c r="H17" s="22">
        <v>3</v>
      </c>
      <c r="I17" s="26">
        <v>0</v>
      </c>
      <c r="J17" s="22">
        <v>18</v>
      </c>
      <c r="K17" s="26">
        <v>11</v>
      </c>
      <c r="L17" s="27">
        <v>6.5</v>
      </c>
      <c r="M17" s="23" t="s">
        <v>51</v>
      </c>
      <c r="N17" s="28">
        <v>5</v>
      </c>
      <c r="O17" s="23">
        <v>120</v>
      </c>
      <c r="P17" s="23" t="s">
        <v>52</v>
      </c>
      <c r="Q17" s="22" t="s">
        <v>63</v>
      </c>
      <c r="R17" s="29">
        <f t="shared" si="0"/>
        <v>600</v>
      </c>
      <c r="S17" s="30">
        <v>14</v>
      </c>
      <c r="T17" s="31">
        <f t="shared" si="1"/>
        <v>8400</v>
      </c>
      <c r="U17" s="22">
        <v>56</v>
      </c>
      <c r="V17" s="26">
        <v>56</v>
      </c>
      <c r="W17" s="27">
        <v>59</v>
      </c>
      <c r="X17" s="32">
        <f t="shared" si="2"/>
        <v>0.185024</v>
      </c>
      <c r="Y17" s="33">
        <f t="shared" si="3"/>
        <v>0.92512</v>
      </c>
      <c r="Z17" s="23">
        <v>42</v>
      </c>
      <c r="AA17" s="34">
        <f t="shared" si="4"/>
        <v>210</v>
      </c>
    </row>
    <row r="18" ht="100" customHeight="1" spans="1:27">
      <c r="A18" s="21" t="s">
        <v>87</v>
      </c>
      <c r="B18" s="22" t="s">
        <v>88</v>
      </c>
      <c r="C18" s="23" t="s">
        <v>88</v>
      </c>
      <c r="D18" s="24"/>
      <c r="E18" s="25" t="s">
        <v>89</v>
      </c>
      <c r="F18" s="23" t="s">
        <v>70</v>
      </c>
      <c r="G18" s="23" t="s">
        <v>82</v>
      </c>
      <c r="H18" s="22">
        <v>0</v>
      </c>
      <c r="I18" s="26">
        <v>1</v>
      </c>
      <c r="J18" s="22">
        <v>11.5</v>
      </c>
      <c r="K18" s="26">
        <v>8.5</v>
      </c>
      <c r="L18" s="27">
        <v>2</v>
      </c>
      <c r="M18" s="23" t="s">
        <v>51</v>
      </c>
      <c r="N18" s="28">
        <v>3</v>
      </c>
      <c r="O18" s="23">
        <v>600</v>
      </c>
      <c r="P18" s="23" t="s">
        <v>52</v>
      </c>
      <c r="Q18" s="22" t="s">
        <v>63</v>
      </c>
      <c r="R18" s="29">
        <f t="shared" si="0"/>
        <v>1800</v>
      </c>
      <c r="S18" s="30">
        <v>4.1</v>
      </c>
      <c r="T18" s="31">
        <f t="shared" si="1"/>
        <v>7380</v>
      </c>
      <c r="U18" s="22">
        <v>45</v>
      </c>
      <c r="V18" s="26">
        <v>55</v>
      </c>
      <c r="W18" s="27">
        <v>40</v>
      </c>
      <c r="X18" s="32">
        <f t="shared" si="2"/>
        <v>0.099</v>
      </c>
      <c r="Y18" s="33">
        <f t="shared" si="3"/>
        <v>0.297</v>
      </c>
      <c r="Z18" s="23">
        <v>39</v>
      </c>
      <c r="AA18" s="34">
        <f t="shared" si="4"/>
        <v>117</v>
      </c>
    </row>
    <row r="19" ht="100" customHeight="1" spans="1:27">
      <c r="A19" s="21" t="s">
        <v>90</v>
      </c>
      <c r="B19" s="22" t="s">
        <v>91</v>
      </c>
      <c r="C19" s="23" t="s">
        <v>91</v>
      </c>
      <c r="D19" s="24"/>
      <c r="E19" s="25" t="s">
        <v>89</v>
      </c>
      <c r="F19" s="23" t="s">
        <v>70</v>
      </c>
      <c r="G19" s="23" t="s">
        <v>82</v>
      </c>
      <c r="H19" s="22">
        <v>0</v>
      </c>
      <c r="I19" s="26">
        <v>1</v>
      </c>
      <c r="J19" s="22">
        <v>11.5</v>
      </c>
      <c r="K19" s="26">
        <v>8.5</v>
      </c>
      <c r="L19" s="27">
        <v>2</v>
      </c>
      <c r="M19" s="23" t="s">
        <v>51</v>
      </c>
      <c r="N19" s="28">
        <v>3</v>
      </c>
      <c r="O19" s="23">
        <v>600</v>
      </c>
      <c r="P19" s="23" t="s">
        <v>52</v>
      </c>
      <c r="Q19" s="22" t="s">
        <v>63</v>
      </c>
      <c r="R19" s="29">
        <f t="shared" si="0"/>
        <v>1800</v>
      </c>
      <c r="S19" s="30">
        <v>4</v>
      </c>
      <c r="T19" s="31">
        <f t="shared" si="1"/>
        <v>7200</v>
      </c>
      <c r="U19" s="22">
        <v>45</v>
      </c>
      <c r="V19" s="26">
        <v>55</v>
      </c>
      <c r="W19" s="27">
        <v>40</v>
      </c>
      <c r="X19" s="32">
        <f t="shared" si="2"/>
        <v>0.099</v>
      </c>
      <c r="Y19" s="33">
        <f t="shared" si="3"/>
        <v>0.297</v>
      </c>
      <c r="Z19" s="23">
        <v>39</v>
      </c>
      <c r="AA19" s="34">
        <f t="shared" si="4"/>
        <v>117</v>
      </c>
    </row>
    <row r="20" ht="100" customHeight="1" spans="1:27">
      <c r="A20" s="21" t="s">
        <v>92</v>
      </c>
      <c r="B20" s="22" t="s">
        <v>93</v>
      </c>
      <c r="C20" s="23" t="s">
        <v>93</v>
      </c>
      <c r="D20" s="24"/>
      <c r="E20" s="25" t="s">
        <v>89</v>
      </c>
      <c r="F20" s="23" t="s">
        <v>70</v>
      </c>
      <c r="G20" s="23" t="s">
        <v>82</v>
      </c>
      <c r="H20" s="22">
        <v>0</v>
      </c>
      <c r="I20" s="26">
        <v>1</v>
      </c>
      <c r="J20" s="22">
        <v>11.5</v>
      </c>
      <c r="K20" s="26">
        <v>8.5</v>
      </c>
      <c r="L20" s="27">
        <v>2</v>
      </c>
      <c r="M20" s="23" t="s">
        <v>51</v>
      </c>
      <c r="N20" s="28">
        <v>3</v>
      </c>
      <c r="O20" s="23">
        <v>600</v>
      </c>
      <c r="P20" s="23" t="s">
        <v>52</v>
      </c>
      <c r="Q20" s="22" t="s">
        <v>63</v>
      </c>
      <c r="R20" s="29">
        <f t="shared" si="0"/>
        <v>1800</v>
      </c>
      <c r="S20" s="30">
        <v>4</v>
      </c>
      <c r="T20" s="31">
        <f t="shared" si="1"/>
        <v>7200</v>
      </c>
      <c r="U20" s="22">
        <v>45</v>
      </c>
      <c r="V20" s="26">
        <v>55</v>
      </c>
      <c r="W20" s="27">
        <v>40</v>
      </c>
      <c r="X20" s="32">
        <f t="shared" si="2"/>
        <v>0.099</v>
      </c>
      <c r="Y20" s="33">
        <f t="shared" si="3"/>
        <v>0.297</v>
      </c>
      <c r="Z20" s="23">
        <v>39</v>
      </c>
      <c r="AA20" s="34">
        <f t="shared" si="4"/>
        <v>117</v>
      </c>
    </row>
    <row r="21" ht="100" customHeight="1" spans="1:27">
      <c r="A21" s="21" t="s">
        <v>94</v>
      </c>
      <c r="B21" s="22" t="s">
        <v>95</v>
      </c>
      <c r="C21" s="23" t="s">
        <v>95</v>
      </c>
      <c r="D21" s="24"/>
      <c r="E21" s="25" t="s">
        <v>89</v>
      </c>
      <c r="F21" s="23" t="s">
        <v>70</v>
      </c>
      <c r="G21" s="23" t="s">
        <v>82</v>
      </c>
      <c r="H21" s="22">
        <v>0</v>
      </c>
      <c r="I21" s="26">
        <v>1</v>
      </c>
      <c r="J21" s="22">
        <v>11.5</v>
      </c>
      <c r="K21" s="26">
        <v>8.5</v>
      </c>
      <c r="L21" s="27">
        <v>2</v>
      </c>
      <c r="M21" s="23" t="s">
        <v>51</v>
      </c>
      <c r="N21" s="28">
        <v>3</v>
      </c>
      <c r="O21" s="23">
        <v>600</v>
      </c>
      <c r="P21" s="23" t="s">
        <v>52</v>
      </c>
      <c r="Q21" s="22" t="s">
        <v>63</v>
      </c>
      <c r="R21" s="29">
        <f t="shared" si="0"/>
        <v>1800</v>
      </c>
      <c r="S21" s="30">
        <v>4</v>
      </c>
      <c r="T21" s="31">
        <f t="shared" si="1"/>
        <v>7200</v>
      </c>
      <c r="U21" s="22">
        <v>45</v>
      </c>
      <c r="V21" s="26">
        <v>55</v>
      </c>
      <c r="W21" s="27">
        <v>40</v>
      </c>
      <c r="X21" s="32">
        <f t="shared" si="2"/>
        <v>0.099</v>
      </c>
      <c r="Y21" s="33">
        <f t="shared" si="3"/>
        <v>0.297</v>
      </c>
      <c r="Z21" s="23">
        <v>39</v>
      </c>
      <c r="AA21" s="34">
        <f t="shared" si="4"/>
        <v>117</v>
      </c>
    </row>
    <row r="22" ht="100" customHeight="1" spans="1:27">
      <c r="A22" s="21" t="s">
        <v>96</v>
      </c>
      <c r="B22" s="22" t="s">
        <v>97</v>
      </c>
      <c r="C22" s="23" t="s">
        <v>97</v>
      </c>
      <c r="D22" s="24"/>
      <c r="E22" s="25" t="s">
        <v>89</v>
      </c>
      <c r="F22" s="23" t="s">
        <v>70</v>
      </c>
      <c r="G22" s="23" t="s">
        <v>82</v>
      </c>
      <c r="H22" s="22">
        <v>1</v>
      </c>
      <c r="I22" s="26">
        <v>0</v>
      </c>
      <c r="J22" s="22">
        <v>12</v>
      </c>
      <c r="K22" s="26">
        <v>9</v>
      </c>
      <c r="L22" s="27">
        <v>2</v>
      </c>
      <c r="M22" s="23" t="s">
        <v>51</v>
      </c>
      <c r="N22" s="28">
        <v>2</v>
      </c>
      <c r="O22" s="23">
        <v>480</v>
      </c>
      <c r="P22" s="23" t="s">
        <v>52</v>
      </c>
      <c r="Q22" s="22" t="s">
        <v>63</v>
      </c>
      <c r="R22" s="29">
        <f t="shared" si="0"/>
        <v>960</v>
      </c>
      <c r="S22" s="30">
        <v>7</v>
      </c>
      <c r="T22" s="31">
        <f t="shared" si="1"/>
        <v>6720</v>
      </c>
      <c r="U22" s="22">
        <v>57.5</v>
      </c>
      <c r="V22" s="26">
        <v>51</v>
      </c>
      <c r="W22" s="27">
        <v>49</v>
      </c>
      <c r="X22" s="32">
        <f t="shared" si="2"/>
        <v>0.1436925</v>
      </c>
      <c r="Y22" s="33">
        <f t="shared" si="3"/>
        <v>0.287385</v>
      </c>
      <c r="Z22" s="23">
        <v>44</v>
      </c>
      <c r="AA22" s="34">
        <f t="shared" si="4"/>
        <v>88</v>
      </c>
    </row>
    <row r="23" ht="100" customHeight="1" spans="1:27">
      <c r="A23" s="21" t="s">
        <v>98</v>
      </c>
      <c r="B23" s="22" t="s">
        <v>99</v>
      </c>
      <c r="C23" s="23" t="s">
        <v>99</v>
      </c>
      <c r="D23" s="24"/>
      <c r="E23" s="25" t="s">
        <v>89</v>
      </c>
      <c r="F23" s="23" t="s">
        <v>70</v>
      </c>
      <c r="G23" s="23" t="s">
        <v>82</v>
      </c>
      <c r="H23" s="22">
        <v>1</v>
      </c>
      <c r="I23" s="26">
        <v>0</v>
      </c>
      <c r="J23" s="22">
        <v>12</v>
      </c>
      <c r="K23" s="26">
        <v>9</v>
      </c>
      <c r="L23" s="27">
        <v>2</v>
      </c>
      <c r="M23" s="23" t="s">
        <v>51</v>
      </c>
      <c r="N23" s="28">
        <v>2</v>
      </c>
      <c r="O23" s="23">
        <v>480</v>
      </c>
      <c r="P23" s="23" t="s">
        <v>52</v>
      </c>
      <c r="Q23" s="22" t="s">
        <v>63</v>
      </c>
      <c r="R23" s="29">
        <f t="shared" si="0"/>
        <v>960</v>
      </c>
      <c r="S23" s="30">
        <v>7</v>
      </c>
      <c r="T23" s="31">
        <f t="shared" si="1"/>
        <v>6720</v>
      </c>
      <c r="U23" s="22">
        <v>57.5</v>
      </c>
      <c r="V23" s="26">
        <v>51</v>
      </c>
      <c r="W23" s="27">
        <v>49</v>
      </c>
      <c r="X23" s="32">
        <f t="shared" si="2"/>
        <v>0.1436925</v>
      </c>
      <c r="Y23" s="33">
        <f t="shared" si="3"/>
        <v>0.287385</v>
      </c>
      <c r="Z23" s="23">
        <v>44</v>
      </c>
      <c r="AA23" s="34">
        <f t="shared" si="4"/>
        <v>88</v>
      </c>
    </row>
    <row r="24" ht="100" customHeight="1" spans="1:27">
      <c r="A24" s="21" t="s">
        <v>100</v>
      </c>
      <c r="B24" s="22" t="s">
        <v>101</v>
      </c>
      <c r="C24" s="23" t="s">
        <v>101</v>
      </c>
      <c r="D24" s="24"/>
      <c r="E24" s="25" t="s">
        <v>89</v>
      </c>
      <c r="F24" s="23" t="s">
        <v>70</v>
      </c>
      <c r="G24" s="23" t="s">
        <v>82</v>
      </c>
      <c r="H24" s="22">
        <v>1</v>
      </c>
      <c r="I24" s="26">
        <v>0</v>
      </c>
      <c r="J24" s="22">
        <v>12</v>
      </c>
      <c r="K24" s="26">
        <v>9</v>
      </c>
      <c r="L24" s="27">
        <v>2</v>
      </c>
      <c r="M24" s="23" t="s">
        <v>51</v>
      </c>
      <c r="N24" s="28">
        <v>2</v>
      </c>
      <c r="O24" s="23">
        <v>480</v>
      </c>
      <c r="P24" s="23" t="s">
        <v>52</v>
      </c>
      <c r="Q24" s="22" t="s">
        <v>63</v>
      </c>
      <c r="R24" s="29">
        <f t="shared" si="0"/>
        <v>960</v>
      </c>
      <c r="S24" s="30">
        <v>7.5</v>
      </c>
      <c r="T24" s="31">
        <f t="shared" si="1"/>
        <v>7200</v>
      </c>
      <c r="U24" s="22">
        <v>57.5</v>
      </c>
      <c r="V24" s="26">
        <v>51</v>
      </c>
      <c r="W24" s="27">
        <v>49</v>
      </c>
      <c r="X24" s="32">
        <f t="shared" si="2"/>
        <v>0.1436925</v>
      </c>
      <c r="Y24" s="33">
        <f t="shared" si="3"/>
        <v>0.287385</v>
      </c>
      <c r="Z24" s="23">
        <v>44</v>
      </c>
      <c r="AA24" s="34">
        <f t="shared" si="4"/>
        <v>88</v>
      </c>
    </row>
    <row r="25" ht="100" customHeight="1" spans="1:27">
      <c r="A25" s="21" t="s">
        <v>102</v>
      </c>
      <c r="B25" s="22" t="s">
        <v>103</v>
      </c>
      <c r="C25" s="23" t="s">
        <v>103</v>
      </c>
      <c r="D25" s="24"/>
      <c r="E25" s="25" t="s">
        <v>89</v>
      </c>
      <c r="F25" s="23" t="s">
        <v>70</v>
      </c>
      <c r="G25" s="23" t="s">
        <v>82</v>
      </c>
      <c r="H25" s="22">
        <v>1</v>
      </c>
      <c r="I25" s="26">
        <v>0</v>
      </c>
      <c r="J25" s="22">
        <v>12</v>
      </c>
      <c r="K25" s="26">
        <v>9</v>
      </c>
      <c r="L25" s="27">
        <v>2</v>
      </c>
      <c r="M25" s="23" t="s">
        <v>51</v>
      </c>
      <c r="N25" s="28">
        <v>2</v>
      </c>
      <c r="O25" s="23">
        <v>480</v>
      </c>
      <c r="P25" s="23" t="s">
        <v>52</v>
      </c>
      <c r="Q25" s="22" t="s">
        <v>63</v>
      </c>
      <c r="R25" s="29">
        <f t="shared" si="0"/>
        <v>960</v>
      </c>
      <c r="S25" s="30">
        <v>7</v>
      </c>
      <c r="T25" s="31">
        <f t="shared" si="1"/>
        <v>6720</v>
      </c>
      <c r="U25" s="22">
        <v>57.5</v>
      </c>
      <c r="V25" s="26">
        <v>51</v>
      </c>
      <c r="W25" s="27">
        <v>49</v>
      </c>
      <c r="X25" s="32">
        <f t="shared" si="2"/>
        <v>0.1436925</v>
      </c>
      <c r="Y25" s="33">
        <f t="shared" si="3"/>
        <v>0.287385</v>
      </c>
      <c r="Z25" s="23">
        <v>44</v>
      </c>
      <c r="AA25" s="34">
        <f t="shared" si="4"/>
        <v>88</v>
      </c>
    </row>
    <row r="26" ht="100" customHeight="1" spans="1:27">
      <c r="A26" s="21" t="s">
        <v>104</v>
      </c>
      <c r="B26" s="22" t="s">
        <v>105</v>
      </c>
      <c r="C26" s="23" t="s">
        <v>105</v>
      </c>
      <c r="D26" s="24"/>
      <c r="E26" s="25" t="s">
        <v>89</v>
      </c>
      <c r="F26" s="23" t="s">
        <v>70</v>
      </c>
      <c r="G26" s="23" t="s">
        <v>106</v>
      </c>
      <c r="H26" s="22">
        <v>2</v>
      </c>
      <c r="I26" s="26">
        <v>1</v>
      </c>
      <c r="J26" s="22">
        <v>11</v>
      </c>
      <c r="K26" s="26">
        <v>8.5</v>
      </c>
      <c r="L26" s="27">
        <v>4</v>
      </c>
      <c r="M26" s="23" t="s">
        <v>51</v>
      </c>
      <c r="N26" s="28">
        <v>1</v>
      </c>
      <c r="O26" s="23">
        <v>300</v>
      </c>
      <c r="P26" s="23" t="s">
        <v>52</v>
      </c>
      <c r="Q26" s="22" t="s">
        <v>63</v>
      </c>
      <c r="R26" s="29">
        <f t="shared" si="0"/>
        <v>300</v>
      </c>
      <c r="S26" s="30">
        <v>4.8</v>
      </c>
      <c r="T26" s="31">
        <f t="shared" si="1"/>
        <v>1440</v>
      </c>
      <c r="U26" s="22">
        <v>70</v>
      </c>
      <c r="V26" s="26">
        <v>40</v>
      </c>
      <c r="W26" s="27">
        <v>55</v>
      </c>
      <c r="X26" s="32">
        <f t="shared" si="2"/>
        <v>0.154</v>
      </c>
      <c r="Y26" s="33">
        <f t="shared" si="3"/>
        <v>0.154</v>
      </c>
      <c r="Z26" s="23">
        <v>30</v>
      </c>
      <c r="AA26" s="34">
        <f t="shared" si="4"/>
        <v>30</v>
      </c>
    </row>
    <row r="27" ht="100" customHeight="1" spans="1:27">
      <c r="A27" s="21" t="s">
        <v>107</v>
      </c>
      <c r="B27" s="22" t="s">
        <v>108</v>
      </c>
      <c r="C27" s="23" t="s">
        <v>108</v>
      </c>
      <c r="D27" s="24"/>
      <c r="E27" s="25" t="s">
        <v>89</v>
      </c>
      <c r="F27" s="23" t="s">
        <v>70</v>
      </c>
      <c r="G27" s="23" t="s">
        <v>106</v>
      </c>
      <c r="H27" s="22">
        <v>2</v>
      </c>
      <c r="I27" s="26">
        <v>1</v>
      </c>
      <c r="J27" s="22">
        <v>11</v>
      </c>
      <c r="K27" s="26">
        <v>8.5</v>
      </c>
      <c r="L27" s="27">
        <v>4</v>
      </c>
      <c r="M27" s="23" t="s">
        <v>51</v>
      </c>
      <c r="N27" s="28">
        <v>1</v>
      </c>
      <c r="O27" s="23">
        <v>300</v>
      </c>
      <c r="P27" s="23" t="s">
        <v>52</v>
      </c>
      <c r="Q27" s="22" t="s">
        <v>63</v>
      </c>
      <c r="R27" s="29">
        <f t="shared" si="0"/>
        <v>300</v>
      </c>
      <c r="S27" s="30">
        <v>4.8</v>
      </c>
      <c r="T27" s="31">
        <f t="shared" si="1"/>
        <v>1440</v>
      </c>
      <c r="U27" s="22">
        <v>70</v>
      </c>
      <c r="V27" s="26">
        <v>40</v>
      </c>
      <c r="W27" s="27">
        <v>55</v>
      </c>
      <c r="X27" s="32">
        <f t="shared" si="2"/>
        <v>0.154</v>
      </c>
      <c r="Y27" s="33">
        <f t="shared" si="3"/>
        <v>0.154</v>
      </c>
      <c r="Z27" s="23">
        <v>30</v>
      </c>
      <c r="AA27" s="34">
        <f t="shared" si="4"/>
        <v>30</v>
      </c>
    </row>
    <row r="28" ht="100" customHeight="1" spans="1:27">
      <c r="A28" s="21" t="s">
        <v>109</v>
      </c>
      <c r="B28" s="22" t="s">
        <v>110</v>
      </c>
      <c r="C28" s="23" t="s">
        <v>110</v>
      </c>
      <c r="D28" s="24"/>
      <c r="E28" s="25" t="s">
        <v>89</v>
      </c>
      <c r="F28" s="23" t="s">
        <v>70</v>
      </c>
      <c r="G28" s="23" t="s">
        <v>106</v>
      </c>
      <c r="H28" s="22">
        <v>2</v>
      </c>
      <c r="I28" s="26">
        <v>1</v>
      </c>
      <c r="J28" s="22">
        <v>11</v>
      </c>
      <c r="K28" s="26">
        <v>8.5</v>
      </c>
      <c r="L28" s="27">
        <v>4</v>
      </c>
      <c r="M28" s="23" t="s">
        <v>51</v>
      </c>
      <c r="N28" s="28">
        <v>1</v>
      </c>
      <c r="O28" s="23">
        <v>300</v>
      </c>
      <c r="P28" s="23" t="s">
        <v>52</v>
      </c>
      <c r="Q28" s="22" t="s">
        <v>63</v>
      </c>
      <c r="R28" s="29">
        <f t="shared" si="0"/>
        <v>300</v>
      </c>
      <c r="S28" s="30">
        <v>4.8</v>
      </c>
      <c r="T28" s="31">
        <f t="shared" si="1"/>
        <v>1440</v>
      </c>
      <c r="U28" s="22">
        <v>70</v>
      </c>
      <c r="V28" s="26">
        <v>40</v>
      </c>
      <c r="W28" s="27">
        <v>55</v>
      </c>
      <c r="X28" s="32">
        <f t="shared" si="2"/>
        <v>0.154</v>
      </c>
      <c r="Y28" s="33">
        <f t="shared" si="3"/>
        <v>0.154</v>
      </c>
      <c r="Z28" s="23">
        <v>30</v>
      </c>
      <c r="AA28" s="34">
        <f t="shared" si="4"/>
        <v>30</v>
      </c>
    </row>
    <row r="29" s="2" customFormat="1" ht="100" customHeight="1" spans="1:27">
      <c r="A29" s="35" t="s">
        <v>111</v>
      </c>
      <c r="B29" s="22" t="s">
        <v>112</v>
      </c>
      <c r="C29" s="36" t="s">
        <v>112</v>
      </c>
      <c r="D29" s="24"/>
      <c r="E29" s="25" t="s">
        <v>89</v>
      </c>
      <c r="F29" s="36" t="s">
        <v>70</v>
      </c>
      <c r="G29" s="36" t="s">
        <v>82</v>
      </c>
      <c r="H29" s="22">
        <v>1</v>
      </c>
      <c r="I29" s="26">
        <v>0</v>
      </c>
      <c r="J29" s="22">
        <v>10.5</v>
      </c>
      <c r="K29" s="26">
        <v>8.5</v>
      </c>
      <c r="L29" s="27">
        <v>4</v>
      </c>
      <c r="M29" s="36" t="s">
        <v>51</v>
      </c>
      <c r="N29" s="28">
        <v>2</v>
      </c>
      <c r="O29" s="36">
        <v>300</v>
      </c>
      <c r="P29" s="36" t="s">
        <v>52</v>
      </c>
      <c r="Q29" s="22" t="s">
        <v>63</v>
      </c>
      <c r="R29" s="37">
        <f t="shared" si="0"/>
        <v>600</v>
      </c>
      <c r="S29" s="30">
        <v>5.6</v>
      </c>
      <c r="T29" s="31">
        <f t="shared" si="1"/>
        <v>3360</v>
      </c>
      <c r="U29" s="22">
        <v>60</v>
      </c>
      <c r="V29" s="26">
        <v>50</v>
      </c>
      <c r="W29" s="27">
        <v>50</v>
      </c>
      <c r="X29" s="38">
        <f t="shared" si="2"/>
        <v>0.15</v>
      </c>
      <c r="Y29" s="33">
        <f t="shared" si="3"/>
        <v>0.3</v>
      </c>
      <c r="Z29" s="36">
        <v>30</v>
      </c>
      <c r="AA29" s="34">
        <f t="shared" si="4"/>
        <v>60</v>
      </c>
    </row>
    <row r="30" s="2" customFormat="1" ht="100" customHeight="1" spans="1:27">
      <c r="A30" s="35" t="s">
        <v>113</v>
      </c>
      <c r="B30" s="22" t="s">
        <v>114</v>
      </c>
      <c r="C30" s="36" t="s">
        <v>114</v>
      </c>
      <c r="D30" s="24"/>
      <c r="E30" s="25" t="s">
        <v>89</v>
      </c>
      <c r="F30" s="36" t="s">
        <v>70</v>
      </c>
      <c r="G30" s="36" t="s">
        <v>82</v>
      </c>
      <c r="H30" s="22">
        <v>1</v>
      </c>
      <c r="I30" s="26">
        <v>0</v>
      </c>
      <c r="J30" s="22">
        <v>10.5</v>
      </c>
      <c r="K30" s="26">
        <v>8.5</v>
      </c>
      <c r="L30" s="27">
        <v>4</v>
      </c>
      <c r="M30" s="36" t="s">
        <v>51</v>
      </c>
      <c r="N30" s="28">
        <v>2</v>
      </c>
      <c r="O30" s="36">
        <v>300</v>
      </c>
      <c r="P30" s="36" t="s">
        <v>52</v>
      </c>
      <c r="Q30" s="22" t="s">
        <v>63</v>
      </c>
      <c r="R30" s="37">
        <f t="shared" si="0"/>
        <v>600</v>
      </c>
      <c r="S30" s="30">
        <v>5.6</v>
      </c>
      <c r="T30" s="31">
        <f t="shared" si="1"/>
        <v>3360</v>
      </c>
      <c r="U30" s="22">
        <v>60</v>
      </c>
      <c r="V30" s="26">
        <v>50</v>
      </c>
      <c r="W30" s="27">
        <v>50</v>
      </c>
      <c r="X30" s="38">
        <f t="shared" si="2"/>
        <v>0.15</v>
      </c>
      <c r="Y30" s="33">
        <f t="shared" si="3"/>
        <v>0.3</v>
      </c>
      <c r="Z30" s="36">
        <v>30</v>
      </c>
      <c r="AA30" s="34">
        <f t="shared" si="4"/>
        <v>60</v>
      </c>
    </row>
    <row r="31" s="2" customFormat="1" ht="100" customHeight="1" spans="1:27">
      <c r="A31" s="35" t="s">
        <v>115</v>
      </c>
      <c r="B31" s="22" t="s">
        <v>116</v>
      </c>
      <c r="C31" s="36" t="s">
        <v>116</v>
      </c>
      <c r="D31" s="24"/>
      <c r="E31" s="25" t="s">
        <v>89</v>
      </c>
      <c r="F31" s="36" t="s">
        <v>70</v>
      </c>
      <c r="G31" s="36" t="s">
        <v>82</v>
      </c>
      <c r="H31" s="22">
        <v>1</v>
      </c>
      <c r="I31" s="26">
        <v>0</v>
      </c>
      <c r="J31" s="22">
        <v>10.5</v>
      </c>
      <c r="K31" s="26">
        <v>8.5</v>
      </c>
      <c r="L31" s="27">
        <v>4</v>
      </c>
      <c r="M31" s="36" t="s">
        <v>51</v>
      </c>
      <c r="N31" s="28">
        <v>2</v>
      </c>
      <c r="O31" s="36">
        <v>300</v>
      </c>
      <c r="P31" s="36" t="s">
        <v>52</v>
      </c>
      <c r="Q31" s="22" t="s">
        <v>63</v>
      </c>
      <c r="R31" s="37">
        <f t="shared" si="0"/>
        <v>600</v>
      </c>
      <c r="S31" s="30">
        <v>5.6</v>
      </c>
      <c r="T31" s="31">
        <f t="shared" si="1"/>
        <v>3360</v>
      </c>
      <c r="U31" s="22">
        <v>60</v>
      </c>
      <c r="V31" s="26">
        <v>50</v>
      </c>
      <c r="W31" s="27">
        <v>50</v>
      </c>
      <c r="X31" s="38">
        <f t="shared" si="2"/>
        <v>0.15</v>
      </c>
      <c r="Y31" s="33">
        <f t="shared" si="3"/>
        <v>0.3</v>
      </c>
      <c r="Z31" s="36">
        <v>30</v>
      </c>
      <c r="AA31" s="34">
        <f t="shared" si="4"/>
        <v>60</v>
      </c>
    </row>
    <row r="32" ht="100" customHeight="1" spans="1:27">
      <c r="A32" s="21" t="s">
        <v>117</v>
      </c>
      <c r="B32" s="22" t="s">
        <v>118</v>
      </c>
      <c r="C32" s="23" t="s">
        <v>118</v>
      </c>
      <c r="D32" s="24"/>
      <c r="E32" s="25" t="s">
        <v>89</v>
      </c>
      <c r="F32" s="23" t="s">
        <v>70</v>
      </c>
      <c r="G32" s="23" t="s">
        <v>82</v>
      </c>
      <c r="H32" s="22">
        <v>1</v>
      </c>
      <c r="I32" s="26">
        <v>0</v>
      </c>
      <c r="J32" s="22">
        <v>19</v>
      </c>
      <c r="K32" s="26">
        <v>9</v>
      </c>
      <c r="L32" s="27">
        <v>2</v>
      </c>
      <c r="M32" s="23" t="s">
        <v>51</v>
      </c>
      <c r="N32" s="28">
        <v>2</v>
      </c>
      <c r="O32" s="23">
        <v>300</v>
      </c>
      <c r="P32" s="23" t="s">
        <v>52</v>
      </c>
      <c r="Q32" s="22" t="s">
        <v>63</v>
      </c>
      <c r="R32" s="29">
        <f t="shared" si="0"/>
        <v>600</v>
      </c>
      <c r="S32" s="30">
        <v>7.8</v>
      </c>
      <c r="T32" s="31">
        <f t="shared" si="1"/>
        <v>4680</v>
      </c>
      <c r="U32" s="22">
        <v>54</v>
      </c>
      <c r="V32" s="26">
        <v>40</v>
      </c>
      <c r="W32" s="27">
        <v>61</v>
      </c>
      <c r="X32" s="32">
        <f t="shared" si="2"/>
        <v>0.13176</v>
      </c>
      <c r="Y32" s="33">
        <f t="shared" si="3"/>
        <v>0.26352</v>
      </c>
      <c r="Z32" s="23">
        <v>36</v>
      </c>
      <c r="AA32" s="34">
        <f t="shared" si="4"/>
        <v>72</v>
      </c>
    </row>
    <row r="33" ht="100" customHeight="1" spans="1:27">
      <c r="A33" s="21" t="s">
        <v>119</v>
      </c>
      <c r="B33" s="22" t="s">
        <v>120</v>
      </c>
      <c r="C33" s="23" t="s">
        <v>120</v>
      </c>
      <c r="D33" s="24"/>
      <c r="E33" s="25" t="s">
        <v>89</v>
      </c>
      <c r="F33" s="23" t="s">
        <v>70</v>
      </c>
      <c r="G33" s="23" t="s">
        <v>82</v>
      </c>
      <c r="H33" s="22">
        <v>1</v>
      </c>
      <c r="I33" s="26">
        <v>0</v>
      </c>
      <c r="J33" s="22">
        <v>19</v>
      </c>
      <c r="K33" s="26">
        <v>9</v>
      </c>
      <c r="L33" s="27">
        <v>2</v>
      </c>
      <c r="M33" s="23" t="s">
        <v>51</v>
      </c>
      <c r="N33" s="28">
        <v>2</v>
      </c>
      <c r="O33" s="23">
        <v>300</v>
      </c>
      <c r="P33" s="23" t="s">
        <v>52</v>
      </c>
      <c r="Q33" s="22" t="s">
        <v>63</v>
      </c>
      <c r="R33" s="29">
        <f t="shared" si="0"/>
        <v>600</v>
      </c>
      <c r="S33" s="30">
        <v>7.8</v>
      </c>
      <c r="T33" s="31">
        <f t="shared" si="1"/>
        <v>4680</v>
      </c>
      <c r="U33" s="22">
        <v>54</v>
      </c>
      <c r="V33" s="26">
        <v>40</v>
      </c>
      <c r="W33" s="27">
        <v>61</v>
      </c>
      <c r="X33" s="32">
        <f t="shared" si="2"/>
        <v>0.13176</v>
      </c>
      <c r="Y33" s="33">
        <f t="shared" si="3"/>
        <v>0.26352</v>
      </c>
      <c r="Z33" s="23">
        <v>36</v>
      </c>
      <c r="AA33" s="34">
        <f t="shared" si="4"/>
        <v>72</v>
      </c>
    </row>
    <row r="34" ht="100" customHeight="1" spans="1:27">
      <c r="A34" s="21" t="s">
        <v>121</v>
      </c>
      <c r="B34" s="22" t="s">
        <v>122</v>
      </c>
      <c r="C34" s="23" t="s">
        <v>122</v>
      </c>
      <c r="D34" s="24"/>
      <c r="E34" s="25" t="s">
        <v>89</v>
      </c>
      <c r="F34" s="23" t="s">
        <v>70</v>
      </c>
      <c r="G34" s="23" t="s">
        <v>82</v>
      </c>
      <c r="H34" s="22">
        <v>1</v>
      </c>
      <c r="I34" s="26">
        <v>0</v>
      </c>
      <c r="J34" s="22">
        <v>19</v>
      </c>
      <c r="K34" s="26">
        <v>10</v>
      </c>
      <c r="L34" s="27">
        <v>3.5</v>
      </c>
      <c r="M34" s="23" t="s">
        <v>51</v>
      </c>
      <c r="N34" s="28">
        <v>3</v>
      </c>
      <c r="O34" s="23">
        <v>240</v>
      </c>
      <c r="P34" s="23" t="s">
        <v>52</v>
      </c>
      <c r="Q34" s="22" t="s">
        <v>63</v>
      </c>
      <c r="R34" s="29">
        <f t="shared" si="0"/>
        <v>720</v>
      </c>
      <c r="S34" s="30">
        <v>7.5</v>
      </c>
      <c r="T34" s="31">
        <f t="shared" si="1"/>
        <v>5400</v>
      </c>
      <c r="U34" s="22">
        <v>53</v>
      </c>
      <c r="V34" s="26">
        <v>44</v>
      </c>
      <c r="W34" s="27">
        <v>79</v>
      </c>
      <c r="X34" s="32">
        <f t="shared" si="2"/>
        <v>0.184228</v>
      </c>
      <c r="Y34" s="33">
        <f t="shared" si="3"/>
        <v>0.552684</v>
      </c>
      <c r="Z34" s="23">
        <v>42</v>
      </c>
      <c r="AA34" s="34">
        <f t="shared" si="4"/>
        <v>126</v>
      </c>
    </row>
    <row r="35" ht="100" customHeight="1" spans="1:27">
      <c r="A35" s="21" t="s">
        <v>123</v>
      </c>
      <c r="B35" s="22" t="s">
        <v>124</v>
      </c>
      <c r="C35" s="23" t="s">
        <v>124</v>
      </c>
      <c r="D35" s="24"/>
      <c r="E35" s="25" t="s">
        <v>89</v>
      </c>
      <c r="F35" s="23" t="s">
        <v>70</v>
      </c>
      <c r="G35" s="23" t="s">
        <v>82</v>
      </c>
      <c r="H35" s="22">
        <v>1</v>
      </c>
      <c r="I35" s="26">
        <v>0</v>
      </c>
      <c r="J35" s="22">
        <v>12</v>
      </c>
      <c r="K35" s="26">
        <v>9</v>
      </c>
      <c r="L35" s="27">
        <v>3.5</v>
      </c>
      <c r="M35" s="23" t="s">
        <v>51</v>
      </c>
      <c r="N35" s="28">
        <v>2</v>
      </c>
      <c r="O35" s="23">
        <v>360</v>
      </c>
      <c r="P35" s="23" t="s">
        <v>52</v>
      </c>
      <c r="Q35" s="22" t="s">
        <v>63</v>
      </c>
      <c r="R35" s="29">
        <f t="shared" si="0"/>
        <v>720</v>
      </c>
      <c r="S35" s="30">
        <v>6.8</v>
      </c>
      <c r="T35" s="31">
        <f t="shared" si="1"/>
        <v>4896</v>
      </c>
      <c r="U35" s="22">
        <v>55</v>
      </c>
      <c r="V35" s="26">
        <v>44</v>
      </c>
      <c r="W35" s="27">
        <v>64</v>
      </c>
      <c r="X35" s="32">
        <f t="shared" si="2"/>
        <v>0.15488</v>
      </c>
      <c r="Y35" s="33">
        <f t="shared" si="3"/>
        <v>0.30976</v>
      </c>
      <c r="Z35" s="23">
        <v>38</v>
      </c>
      <c r="AA35" s="34">
        <f t="shared" si="4"/>
        <v>76</v>
      </c>
    </row>
    <row r="36" ht="100" customHeight="1" spans="1:27">
      <c r="A36" s="21" t="s">
        <v>125</v>
      </c>
      <c r="B36" s="22" t="s">
        <v>126</v>
      </c>
      <c r="C36" s="23" t="s">
        <v>126</v>
      </c>
      <c r="D36" s="24"/>
      <c r="E36" s="25" t="s">
        <v>89</v>
      </c>
      <c r="F36" s="23" t="s">
        <v>70</v>
      </c>
      <c r="G36" s="23" t="s">
        <v>82</v>
      </c>
      <c r="H36" s="22">
        <v>1</v>
      </c>
      <c r="I36" s="26">
        <v>0</v>
      </c>
      <c r="J36" s="22">
        <v>19</v>
      </c>
      <c r="K36" s="26">
        <v>10</v>
      </c>
      <c r="L36" s="27">
        <v>3.5</v>
      </c>
      <c r="M36" s="23" t="s">
        <v>51</v>
      </c>
      <c r="N36" s="28">
        <v>2</v>
      </c>
      <c r="O36" s="23">
        <v>240</v>
      </c>
      <c r="P36" s="23" t="s">
        <v>52</v>
      </c>
      <c r="Q36" s="22" t="s">
        <v>63</v>
      </c>
      <c r="R36" s="29">
        <f t="shared" si="0"/>
        <v>480</v>
      </c>
      <c r="S36" s="30">
        <v>7.5</v>
      </c>
      <c r="T36" s="31">
        <f t="shared" si="1"/>
        <v>3600</v>
      </c>
      <c r="U36" s="22">
        <v>53</v>
      </c>
      <c r="V36" s="26">
        <v>44</v>
      </c>
      <c r="W36" s="27">
        <v>79</v>
      </c>
      <c r="X36" s="32">
        <f t="shared" si="2"/>
        <v>0.184228</v>
      </c>
      <c r="Y36" s="33">
        <f t="shared" si="3"/>
        <v>0.368456</v>
      </c>
      <c r="Z36" s="23">
        <v>42</v>
      </c>
      <c r="AA36" s="34">
        <f t="shared" si="4"/>
        <v>84</v>
      </c>
    </row>
    <row r="37" ht="100" customHeight="1" spans="1:27">
      <c r="A37" s="21" t="s">
        <v>127</v>
      </c>
      <c r="B37" s="22" t="s">
        <v>128</v>
      </c>
      <c r="C37" s="23" t="s">
        <v>128</v>
      </c>
      <c r="D37" s="24"/>
      <c r="E37" s="25" t="s">
        <v>89</v>
      </c>
      <c r="F37" s="23" t="s">
        <v>70</v>
      </c>
      <c r="G37" s="23" t="s">
        <v>82</v>
      </c>
      <c r="H37" s="22">
        <v>0</v>
      </c>
      <c r="I37" s="26">
        <v>0</v>
      </c>
      <c r="J37" s="22">
        <v>10.5</v>
      </c>
      <c r="K37" s="26">
        <v>8</v>
      </c>
      <c r="L37" s="27">
        <v>3</v>
      </c>
      <c r="M37" s="23" t="s">
        <v>51</v>
      </c>
      <c r="N37" s="28">
        <v>2</v>
      </c>
      <c r="O37" s="23">
        <v>360</v>
      </c>
      <c r="P37" s="23" t="s">
        <v>52</v>
      </c>
      <c r="Q37" s="22" t="s">
        <v>63</v>
      </c>
      <c r="R37" s="29">
        <f t="shared" si="0"/>
        <v>720</v>
      </c>
      <c r="S37" s="30">
        <v>6.3</v>
      </c>
      <c r="T37" s="31">
        <f t="shared" si="1"/>
        <v>4536</v>
      </c>
      <c r="U37" s="22">
        <v>60</v>
      </c>
      <c r="V37" s="26">
        <v>50</v>
      </c>
      <c r="W37" s="27">
        <v>50</v>
      </c>
      <c r="X37" s="32">
        <f t="shared" si="2"/>
        <v>0.15</v>
      </c>
      <c r="Y37" s="33">
        <f t="shared" si="3"/>
        <v>0.3</v>
      </c>
      <c r="Z37" s="23">
        <v>30</v>
      </c>
      <c r="AA37" s="34">
        <f t="shared" si="4"/>
        <v>60</v>
      </c>
    </row>
    <row r="38" ht="100" customHeight="1" spans="1:27">
      <c r="A38" s="21" t="s">
        <v>129</v>
      </c>
      <c r="B38" s="22" t="s">
        <v>130</v>
      </c>
      <c r="C38" s="23" t="s">
        <v>130</v>
      </c>
      <c r="D38" s="24"/>
      <c r="E38" s="25" t="s">
        <v>89</v>
      </c>
      <c r="F38" s="23" t="s">
        <v>70</v>
      </c>
      <c r="G38" s="23" t="s">
        <v>82</v>
      </c>
      <c r="H38" s="22">
        <v>0</v>
      </c>
      <c r="I38" s="26">
        <v>1</v>
      </c>
      <c r="J38" s="22">
        <v>11.5</v>
      </c>
      <c r="K38" s="26">
        <v>8.5</v>
      </c>
      <c r="L38" s="27">
        <v>2</v>
      </c>
      <c r="M38" s="23" t="s">
        <v>51</v>
      </c>
      <c r="N38" s="28">
        <v>2</v>
      </c>
      <c r="O38" s="23">
        <v>600</v>
      </c>
      <c r="P38" s="23" t="s">
        <v>52</v>
      </c>
      <c r="Q38" s="22" t="s">
        <v>63</v>
      </c>
      <c r="R38" s="29">
        <f t="shared" si="0"/>
        <v>1200</v>
      </c>
      <c r="S38" s="30">
        <v>4.5</v>
      </c>
      <c r="T38" s="31">
        <f t="shared" si="1"/>
        <v>5400</v>
      </c>
      <c r="U38" s="22">
        <v>65</v>
      </c>
      <c r="V38" s="26">
        <v>46</v>
      </c>
      <c r="W38" s="27">
        <v>35</v>
      </c>
      <c r="X38" s="32">
        <f t="shared" si="2"/>
        <v>0.10465</v>
      </c>
      <c r="Y38" s="33">
        <f t="shared" si="3"/>
        <v>0.2093</v>
      </c>
      <c r="Z38" s="23">
        <v>36</v>
      </c>
      <c r="AA38" s="34">
        <f t="shared" si="4"/>
        <v>72</v>
      </c>
    </row>
    <row r="39" ht="100" customHeight="1" spans="1:27">
      <c r="A39" s="21" t="s">
        <v>131</v>
      </c>
      <c r="B39" s="22" t="s">
        <v>132</v>
      </c>
      <c r="C39" s="23" t="s">
        <v>132</v>
      </c>
      <c r="D39" s="24"/>
      <c r="E39" s="25" t="s">
        <v>89</v>
      </c>
      <c r="F39" s="23" t="s">
        <v>70</v>
      </c>
      <c r="G39" s="23" t="s">
        <v>82</v>
      </c>
      <c r="H39" s="22">
        <v>0</v>
      </c>
      <c r="I39" s="26">
        <v>1</v>
      </c>
      <c r="J39" s="22">
        <v>11.5</v>
      </c>
      <c r="K39" s="26">
        <v>8.5</v>
      </c>
      <c r="L39" s="27">
        <v>2</v>
      </c>
      <c r="M39" s="23" t="s">
        <v>51</v>
      </c>
      <c r="N39" s="28">
        <v>2</v>
      </c>
      <c r="O39" s="23">
        <v>600</v>
      </c>
      <c r="P39" s="23" t="s">
        <v>52</v>
      </c>
      <c r="Q39" s="22" t="s">
        <v>63</v>
      </c>
      <c r="R39" s="29">
        <f t="shared" si="0"/>
        <v>1200</v>
      </c>
      <c r="S39" s="30">
        <v>4.5</v>
      </c>
      <c r="T39" s="31">
        <f t="shared" si="1"/>
        <v>5400</v>
      </c>
      <c r="U39" s="22">
        <v>65</v>
      </c>
      <c r="V39" s="26">
        <v>46</v>
      </c>
      <c r="W39" s="27">
        <v>35</v>
      </c>
      <c r="X39" s="32">
        <f t="shared" si="2"/>
        <v>0.10465</v>
      </c>
      <c r="Y39" s="33">
        <f t="shared" si="3"/>
        <v>0.2093</v>
      </c>
      <c r="Z39" s="23">
        <v>36</v>
      </c>
      <c r="AA39" s="34">
        <f t="shared" si="4"/>
        <v>72</v>
      </c>
    </row>
    <row r="40" ht="100" customHeight="1" spans="1:27">
      <c r="A40" s="21" t="s">
        <v>133</v>
      </c>
      <c r="B40" s="22" t="s">
        <v>134</v>
      </c>
      <c r="C40" s="23" t="s">
        <v>134</v>
      </c>
      <c r="D40" s="24"/>
      <c r="E40" s="25" t="s">
        <v>89</v>
      </c>
      <c r="F40" s="23" t="s">
        <v>70</v>
      </c>
      <c r="G40" s="23" t="s">
        <v>82</v>
      </c>
      <c r="H40" s="22">
        <v>0</v>
      </c>
      <c r="I40" s="26">
        <v>1</v>
      </c>
      <c r="J40" s="22">
        <v>11.5</v>
      </c>
      <c r="K40" s="26">
        <v>8.5</v>
      </c>
      <c r="L40" s="27">
        <v>2</v>
      </c>
      <c r="M40" s="23" t="s">
        <v>51</v>
      </c>
      <c r="N40" s="28">
        <v>2</v>
      </c>
      <c r="O40" s="23">
        <v>600</v>
      </c>
      <c r="P40" s="23" t="s">
        <v>52</v>
      </c>
      <c r="Q40" s="22" t="s">
        <v>63</v>
      </c>
      <c r="R40" s="29">
        <f t="shared" si="0"/>
        <v>1200</v>
      </c>
      <c r="S40" s="30">
        <v>4.5</v>
      </c>
      <c r="T40" s="31">
        <f t="shared" si="1"/>
        <v>5400</v>
      </c>
      <c r="U40" s="22">
        <v>65</v>
      </c>
      <c r="V40" s="26">
        <v>46</v>
      </c>
      <c r="W40" s="27">
        <v>35</v>
      </c>
      <c r="X40" s="32">
        <f t="shared" si="2"/>
        <v>0.10465</v>
      </c>
      <c r="Y40" s="33">
        <f t="shared" si="3"/>
        <v>0.2093</v>
      </c>
      <c r="Z40" s="23">
        <v>36</v>
      </c>
      <c r="AA40" s="34">
        <f t="shared" si="4"/>
        <v>72</v>
      </c>
    </row>
    <row r="41" ht="100" customHeight="1" spans="1:27">
      <c r="A41" s="21" t="s">
        <v>135</v>
      </c>
      <c r="B41" s="22" t="s">
        <v>136</v>
      </c>
      <c r="C41" s="23" t="s">
        <v>136</v>
      </c>
      <c r="D41" s="24"/>
      <c r="E41" s="25" t="s">
        <v>89</v>
      </c>
      <c r="F41" s="23" t="s">
        <v>70</v>
      </c>
      <c r="G41" s="23" t="s">
        <v>82</v>
      </c>
      <c r="H41" s="22">
        <v>0</v>
      </c>
      <c r="I41" s="26">
        <v>1</v>
      </c>
      <c r="J41" s="22">
        <v>11.5</v>
      </c>
      <c r="K41" s="26">
        <v>8.5</v>
      </c>
      <c r="L41" s="27">
        <v>2</v>
      </c>
      <c r="M41" s="23" t="s">
        <v>51</v>
      </c>
      <c r="N41" s="28">
        <v>2</v>
      </c>
      <c r="O41" s="23">
        <v>600</v>
      </c>
      <c r="P41" s="23" t="s">
        <v>52</v>
      </c>
      <c r="Q41" s="22" t="s">
        <v>63</v>
      </c>
      <c r="R41" s="29">
        <f t="shared" si="0"/>
        <v>1200</v>
      </c>
      <c r="S41" s="30">
        <v>4.5</v>
      </c>
      <c r="T41" s="31">
        <f t="shared" si="1"/>
        <v>5400</v>
      </c>
      <c r="U41" s="22">
        <v>65</v>
      </c>
      <c r="V41" s="26">
        <v>46</v>
      </c>
      <c r="W41" s="27">
        <v>35</v>
      </c>
      <c r="X41" s="32">
        <f t="shared" si="2"/>
        <v>0.10465</v>
      </c>
      <c r="Y41" s="33">
        <f t="shared" si="3"/>
        <v>0.2093</v>
      </c>
      <c r="Z41" s="23">
        <v>36</v>
      </c>
      <c r="AA41" s="34">
        <f t="shared" si="4"/>
        <v>72</v>
      </c>
    </row>
    <row r="42" ht="100" customHeight="1" spans="1:27">
      <c r="A42" s="21" t="s">
        <v>137</v>
      </c>
      <c r="B42" s="22" t="s">
        <v>138</v>
      </c>
      <c r="C42" s="23" t="s">
        <v>138</v>
      </c>
      <c r="D42" s="24"/>
      <c r="E42" s="25" t="s">
        <v>89</v>
      </c>
      <c r="F42" s="23" t="s">
        <v>70</v>
      </c>
      <c r="G42" s="23" t="s">
        <v>82</v>
      </c>
      <c r="H42" s="22">
        <v>0</v>
      </c>
      <c r="I42" s="26">
        <v>1</v>
      </c>
      <c r="J42" s="22">
        <v>11.5</v>
      </c>
      <c r="K42" s="26">
        <v>8.5</v>
      </c>
      <c r="L42" s="27">
        <v>2</v>
      </c>
      <c r="M42" s="23" t="s">
        <v>51</v>
      </c>
      <c r="N42" s="28">
        <v>2</v>
      </c>
      <c r="O42" s="23">
        <v>600</v>
      </c>
      <c r="P42" s="23" t="s">
        <v>52</v>
      </c>
      <c r="Q42" s="22" t="s">
        <v>63</v>
      </c>
      <c r="R42" s="29">
        <f t="shared" si="0"/>
        <v>1200</v>
      </c>
      <c r="S42" s="30">
        <v>4.2</v>
      </c>
      <c r="T42" s="31">
        <f t="shared" si="1"/>
        <v>5040</v>
      </c>
      <c r="U42" s="22">
        <v>65</v>
      </c>
      <c r="V42" s="26">
        <v>46</v>
      </c>
      <c r="W42" s="27">
        <v>35</v>
      </c>
      <c r="X42" s="32">
        <f t="shared" si="2"/>
        <v>0.10465</v>
      </c>
      <c r="Y42" s="33">
        <f t="shared" si="3"/>
        <v>0.2093</v>
      </c>
      <c r="Z42" s="23">
        <v>36</v>
      </c>
      <c r="AA42" s="34">
        <f t="shared" si="4"/>
        <v>72</v>
      </c>
    </row>
    <row r="43" ht="100" customHeight="1" spans="1:27">
      <c r="A43" s="21" t="s">
        <v>139</v>
      </c>
      <c r="B43" s="22" t="s">
        <v>140</v>
      </c>
      <c r="C43" s="23" t="s">
        <v>140</v>
      </c>
      <c r="D43" s="24"/>
      <c r="E43" s="25" t="s">
        <v>89</v>
      </c>
      <c r="F43" s="23" t="s">
        <v>70</v>
      </c>
      <c r="G43" s="23" t="s">
        <v>106</v>
      </c>
      <c r="H43" s="22">
        <v>1</v>
      </c>
      <c r="I43" s="26">
        <v>1</v>
      </c>
      <c r="J43" s="22">
        <v>11</v>
      </c>
      <c r="K43" s="26">
        <v>8.5</v>
      </c>
      <c r="L43" s="27">
        <v>2.5</v>
      </c>
      <c r="M43" s="23" t="s">
        <v>51</v>
      </c>
      <c r="N43" s="28">
        <v>4</v>
      </c>
      <c r="O43" s="23">
        <v>300</v>
      </c>
      <c r="P43" s="23" t="s">
        <v>52</v>
      </c>
      <c r="Q43" s="22" t="s">
        <v>63</v>
      </c>
      <c r="R43" s="29">
        <f t="shared" si="0"/>
        <v>1200</v>
      </c>
      <c r="S43" s="30">
        <v>3.8</v>
      </c>
      <c r="T43" s="31">
        <f t="shared" si="1"/>
        <v>4560</v>
      </c>
      <c r="U43" s="22">
        <v>60</v>
      </c>
      <c r="V43" s="26">
        <v>50</v>
      </c>
      <c r="W43" s="27">
        <v>32</v>
      </c>
      <c r="X43" s="32">
        <f t="shared" si="2"/>
        <v>0.096</v>
      </c>
      <c r="Y43" s="33">
        <f t="shared" si="3"/>
        <v>0.384</v>
      </c>
      <c r="Z43" s="23">
        <v>28</v>
      </c>
      <c r="AA43" s="34">
        <f t="shared" si="4"/>
        <v>112</v>
      </c>
    </row>
    <row r="44" ht="100" customHeight="1" spans="1:27">
      <c r="A44" s="21" t="s">
        <v>141</v>
      </c>
      <c r="B44" s="22" t="s">
        <v>142</v>
      </c>
      <c r="C44" s="23" t="s">
        <v>142</v>
      </c>
      <c r="D44" s="24"/>
      <c r="E44" s="25" t="s">
        <v>89</v>
      </c>
      <c r="F44" s="23" t="s">
        <v>70</v>
      </c>
      <c r="G44" s="23" t="s">
        <v>106</v>
      </c>
      <c r="H44" s="22">
        <v>1</v>
      </c>
      <c r="I44" s="26">
        <v>1</v>
      </c>
      <c r="J44" s="22">
        <v>10</v>
      </c>
      <c r="K44" s="26">
        <v>8.5</v>
      </c>
      <c r="L44" s="27">
        <v>2.5</v>
      </c>
      <c r="M44" s="23" t="s">
        <v>51</v>
      </c>
      <c r="N44" s="28">
        <v>4</v>
      </c>
      <c r="O44" s="23">
        <v>300</v>
      </c>
      <c r="P44" s="23" t="s">
        <v>52</v>
      </c>
      <c r="Q44" s="22" t="s">
        <v>63</v>
      </c>
      <c r="R44" s="29">
        <f t="shared" si="0"/>
        <v>1200</v>
      </c>
      <c r="S44" s="30">
        <v>3.8</v>
      </c>
      <c r="T44" s="31">
        <f t="shared" si="1"/>
        <v>4560</v>
      </c>
      <c r="U44" s="22">
        <v>60</v>
      </c>
      <c r="V44" s="26">
        <v>50</v>
      </c>
      <c r="W44" s="27">
        <v>32</v>
      </c>
      <c r="X44" s="32">
        <f t="shared" si="2"/>
        <v>0.096</v>
      </c>
      <c r="Y44" s="33">
        <f t="shared" si="3"/>
        <v>0.384</v>
      </c>
      <c r="Z44" s="23">
        <v>28</v>
      </c>
      <c r="AA44" s="34">
        <f t="shared" si="4"/>
        <v>112</v>
      </c>
    </row>
    <row r="45" ht="100" customHeight="1" spans="1:27">
      <c r="A45" s="21" t="s">
        <v>143</v>
      </c>
      <c r="B45" s="22" t="s">
        <v>144</v>
      </c>
      <c r="C45" s="23" t="s">
        <v>144</v>
      </c>
      <c r="D45" s="24"/>
      <c r="E45" s="25" t="s">
        <v>89</v>
      </c>
      <c r="F45" s="23" t="s">
        <v>70</v>
      </c>
      <c r="G45" s="23" t="s">
        <v>82</v>
      </c>
      <c r="H45" s="22">
        <v>0</v>
      </c>
      <c r="I45" s="26">
        <v>0</v>
      </c>
      <c r="J45" s="22">
        <v>12</v>
      </c>
      <c r="K45" s="26">
        <v>9</v>
      </c>
      <c r="L45" s="27">
        <v>2</v>
      </c>
      <c r="M45" s="23" t="s">
        <v>51</v>
      </c>
      <c r="N45" s="28">
        <v>4</v>
      </c>
      <c r="O45" s="23">
        <v>300</v>
      </c>
      <c r="P45" s="23" t="s">
        <v>52</v>
      </c>
      <c r="Q45" s="22" t="s">
        <v>63</v>
      </c>
      <c r="R45" s="29">
        <f t="shared" si="0"/>
        <v>1200</v>
      </c>
      <c r="S45" s="30">
        <v>5</v>
      </c>
      <c r="T45" s="31">
        <f t="shared" si="1"/>
        <v>6000</v>
      </c>
      <c r="U45" s="22">
        <v>61</v>
      </c>
      <c r="V45" s="26">
        <v>32</v>
      </c>
      <c r="W45" s="27">
        <v>48</v>
      </c>
      <c r="X45" s="32">
        <f t="shared" si="2"/>
        <v>0.093696</v>
      </c>
      <c r="Y45" s="33">
        <f t="shared" si="3"/>
        <v>0.374784</v>
      </c>
      <c r="Z45" s="23">
        <v>23</v>
      </c>
      <c r="AA45" s="34">
        <f t="shared" si="4"/>
        <v>92</v>
      </c>
    </row>
    <row r="46" ht="100" customHeight="1" spans="1:27">
      <c r="A46" s="21" t="s">
        <v>145</v>
      </c>
      <c r="B46" s="22" t="s">
        <v>146</v>
      </c>
      <c r="C46" s="23" t="s">
        <v>146</v>
      </c>
      <c r="D46" s="24"/>
      <c r="E46" s="25" t="s">
        <v>89</v>
      </c>
      <c r="F46" s="23" t="s">
        <v>70</v>
      </c>
      <c r="G46" s="23" t="s">
        <v>82</v>
      </c>
      <c r="H46" s="22">
        <v>0</v>
      </c>
      <c r="I46" s="26">
        <v>0</v>
      </c>
      <c r="J46" s="22">
        <v>12</v>
      </c>
      <c r="K46" s="26">
        <v>9</v>
      </c>
      <c r="L46" s="27">
        <v>2</v>
      </c>
      <c r="M46" s="23" t="s">
        <v>51</v>
      </c>
      <c r="N46" s="28">
        <v>4</v>
      </c>
      <c r="O46" s="23">
        <v>300</v>
      </c>
      <c r="P46" s="23" t="s">
        <v>52</v>
      </c>
      <c r="Q46" s="22" t="s">
        <v>63</v>
      </c>
      <c r="R46" s="29">
        <f t="shared" si="0"/>
        <v>1200</v>
      </c>
      <c r="S46" s="30">
        <v>5</v>
      </c>
      <c r="T46" s="31">
        <f t="shared" si="1"/>
        <v>6000</v>
      </c>
      <c r="U46" s="22">
        <v>61</v>
      </c>
      <c r="V46" s="26">
        <v>32</v>
      </c>
      <c r="W46" s="27">
        <v>48</v>
      </c>
      <c r="X46" s="32">
        <f t="shared" si="2"/>
        <v>0.093696</v>
      </c>
      <c r="Y46" s="33">
        <f t="shared" si="3"/>
        <v>0.374784</v>
      </c>
      <c r="Z46" s="23">
        <v>23</v>
      </c>
      <c r="AA46" s="34">
        <f t="shared" si="4"/>
        <v>92</v>
      </c>
    </row>
    <row r="47" ht="100" customHeight="1" spans="1:27">
      <c r="A47" s="21" t="s">
        <v>147</v>
      </c>
      <c r="B47" s="22" t="s">
        <v>148</v>
      </c>
      <c r="C47" s="23" t="s">
        <v>148</v>
      </c>
      <c r="D47" s="24"/>
      <c r="E47" s="25" t="s">
        <v>149</v>
      </c>
      <c r="F47" s="23" t="s">
        <v>70</v>
      </c>
      <c r="G47" s="23" t="s">
        <v>62</v>
      </c>
      <c r="H47" s="22">
        <v>0</v>
      </c>
      <c r="I47" s="26">
        <v>0</v>
      </c>
      <c r="J47" s="22">
        <v>4</v>
      </c>
      <c r="K47" s="26">
        <v>120</v>
      </c>
      <c r="L47" s="27">
        <v>0.5</v>
      </c>
      <c r="M47" s="23" t="s">
        <v>51</v>
      </c>
      <c r="N47" s="28">
        <v>10</v>
      </c>
      <c r="O47" s="23">
        <v>120</v>
      </c>
      <c r="P47" s="23" t="s">
        <v>52</v>
      </c>
      <c r="Q47" s="22" t="s">
        <v>63</v>
      </c>
      <c r="R47" s="29">
        <f t="shared" si="0"/>
        <v>1200</v>
      </c>
      <c r="S47" s="30">
        <v>7</v>
      </c>
      <c r="T47" s="31">
        <f t="shared" si="1"/>
        <v>8400</v>
      </c>
      <c r="U47" s="22">
        <v>60</v>
      </c>
      <c r="V47" s="26">
        <v>26</v>
      </c>
      <c r="W47" s="27">
        <v>35</v>
      </c>
      <c r="X47" s="32">
        <f t="shared" si="2"/>
        <v>0.0546</v>
      </c>
      <c r="Y47" s="33">
        <f t="shared" si="3"/>
        <v>0.546</v>
      </c>
      <c r="Z47" s="23">
        <v>31</v>
      </c>
      <c r="AA47" s="34">
        <f t="shared" si="4"/>
        <v>310</v>
      </c>
    </row>
    <row r="48" ht="100" customHeight="1" spans="1:27">
      <c r="A48" s="21" t="s">
        <v>150</v>
      </c>
      <c r="B48" s="22" t="s">
        <v>151</v>
      </c>
      <c r="C48" s="23" t="s">
        <v>151</v>
      </c>
      <c r="D48" s="24"/>
      <c r="E48" s="25" t="s">
        <v>149</v>
      </c>
      <c r="F48" s="23" t="s">
        <v>70</v>
      </c>
      <c r="G48" s="23" t="s">
        <v>62</v>
      </c>
      <c r="H48" s="22">
        <v>0</v>
      </c>
      <c r="I48" s="26">
        <v>0</v>
      </c>
      <c r="J48" s="22">
        <v>4</v>
      </c>
      <c r="K48" s="26">
        <v>120</v>
      </c>
      <c r="L48" s="27">
        <v>0.5</v>
      </c>
      <c r="M48" s="23" t="s">
        <v>51</v>
      </c>
      <c r="N48" s="28">
        <v>10</v>
      </c>
      <c r="O48" s="23">
        <v>120</v>
      </c>
      <c r="P48" s="23" t="s">
        <v>52</v>
      </c>
      <c r="Q48" s="22" t="s">
        <v>63</v>
      </c>
      <c r="R48" s="29">
        <f t="shared" si="0"/>
        <v>1200</v>
      </c>
      <c r="S48" s="30">
        <v>7</v>
      </c>
      <c r="T48" s="31">
        <f t="shared" si="1"/>
        <v>8400</v>
      </c>
      <c r="U48" s="22">
        <v>60</v>
      </c>
      <c r="V48" s="26">
        <v>35</v>
      </c>
      <c r="W48" s="27">
        <v>26</v>
      </c>
      <c r="X48" s="32">
        <f t="shared" si="2"/>
        <v>0.0546</v>
      </c>
      <c r="Y48" s="33">
        <f t="shared" si="3"/>
        <v>0.546</v>
      </c>
      <c r="Z48" s="23">
        <v>31</v>
      </c>
      <c r="AA48" s="34">
        <f t="shared" si="4"/>
        <v>310</v>
      </c>
    </row>
    <row r="49" ht="100" customHeight="1" spans="1:27">
      <c r="A49" s="21" t="s">
        <v>152</v>
      </c>
      <c r="B49" s="22" t="s">
        <v>153</v>
      </c>
      <c r="C49" s="23" t="s">
        <v>153</v>
      </c>
      <c r="D49" s="24"/>
      <c r="E49" s="25" t="s">
        <v>149</v>
      </c>
      <c r="F49" s="23" t="s">
        <v>70</v>
      </c>
      <c r="G49" s="23" t="s">
        <v>62</v>
      </c>
      <c r="H49" s="22">
        <v>0</v>
      </c>
      <c r="I49" s="26">
        <v>0</v>
      </c>
      <c r="J49" s="22">
        <v>4</v>
      </c>
      <c r="K49" s="26">
        <v>120</v>
      </c>
      <c r="L49" s="27">
        <v>0.5</v>
      </c>
      <c r="M49" s="23" t="s">
        <v>51</v>
      </c>
      <c r="N49" s="28">
        <v>10</v>
      </c>
      <c r="O49" s="23">
        <v>120</v>
      </c>
      <c r="P49" s="23" t="s">
        <v>52</v>
      </c>
      <c r="Q49" s="22" t="s">
        <v>63</v>
      </c>
      <c r="R49" s="29">
        <f t="shared" si="0"/>
        <v>1200</v>
      </c>
      <c r="S49" s="30">
        <v>7</v>
      </c>
      <c r="T49" s="31">
        <f t="shared" si="1"/>
        <v>8400</v>
      </c>
      <c r="U49" s="22">
        <v>60</v>
      </c>
      <c r="V49" s="26">
        <v>35</v>
      </c>
      <c r="W49" s="27">
        <v>26</v>
      </c>
      <c r="X49" s="32">
        <f t="shared" si="2"/>
        <v>0.0546</v>
      </c>
      <c r="Y49" s="33">
        <f t="shared" si="3"/>
        <v>0.546</v>
      </c>
      <c r="Z49" s="23">
        <v>31.7</v>
      </c>
      <c r="AA49" s="34">
        <f t="shared" si="4"/>
        <v>317</v>
      </c>
    </row>
    <row r="50" ht="100" customHeight="1" spans="1:27">
      <c r="A50" s="21" t="s">
        <v>154</v>
      </c>
      <c r="B50" s="22" t="s">
        <v>155</v>
      </c>
      <c r="C50" s="23" t="s">
        <v>155</v>
      </c>
      <c r="D50" s="24"/>
      <c r="E50" s="25" t="s">
        <v>149</v>
      </c>
      <c r="F50" s="23" t="s">
        <v>70</v>
      </c>
      <c r="G50" s="23" t="s">
        <v>62</v>
      </c>
      <c r="H50" s="22">
        <v>0</v>
      </c>
      <c r="I50" s="26">
        <v>0</v>
      </c>
      <c r="J50" s="22">
        <v>3.5</v>
      </c>
      <c r="K50" s="26">
        <v>120</v>
      </c>
      <c r="L50" s="27">
        <v>0.5</v>
      </c>
      <c r="M50" s="23" t="s">
        <v>51</v>
      </c>
      <c r="N50" s="28">
        <v>4</v>
      </c>
      <c r="O50" s="23">
        <v>300</v>
      </c>
      <c r="P50" s="23" t="s">
        <v>52</v>
      </c>
      <c r="Q50" s="22" t="s">
        <v>63</v>
      </c>
      <c r="R50" s="29">
        <f t="shared" si="0"/>
        <v>1200</v>
      </c>
      <c r="S50" s="30">
        <v>3.5</v>
      </c>
      <c r="T50" s="31">
        <f t="shared" si="1"/>
        <v>4200</v>
      </c>
      <c r="U50" s="22">
        <v>60</v>
      </c>
      <c r="V50" s="26">
        <v>30</v>
      </c>
      <c r="W50" s="27">
        <v>55</v>
      </c>
      <c r="X50" s="32">
        <f t="shared" si="2"/>
        <v>0.099</v>
      </c>
      <c r="Y50" s="33">
        <f t="shared" si="3"/>
        <v>0.396</v>
      </c>
      <c r="Z50" s="23">
        <v>54.4</v>
      </c>
      <c r="AA50" s="34">
        <f t="shared" si="4"/>
        <v>217.6</v>
      </c>
    </row>
    <row r="51" ht="100" customHeight="1" spans="1:27">
      <c r="A51" s="21" t="s">
        <v>156</v>
      </c>
      <c r="B51" s="22" t="s">
        <v>157</v>
      </c>
      <c r="C51" s="23" t="s">
        <v>157</v>
      </c>
      <c r="D51" s="24"/>
      <c r="E51" s="25" t="s">
        <v>149</v>
      </c>
      <c r="F51" s="23" t="s">
        <v>70</v>
      </c>
      <c r="G51" s="23" t="s">
        <v>62</v>
      </c>
      <c r="H51" s="22">
        <v>0</v>
      </c>
      <c r="I51" s="26">
        <v>0</v>
      </c>
      <c r="J51" s="22">
        <v>4</v>
      </c>
      <c r="K51" s="26">
        <v>120</v>
      </c>
      <c r="L51" s="27">
        <v>0.5</v>
      </c>
      <c r="M51" s="23" t="s">
        <v>51</v>
      </c>
      <c r="N51" s="28">
        <v>4</v>
      </c>
      <c r="O51" s="23">
        <v>300</v>
      </c>
      <c r="P51" s="23" t="s">
        <v>52</v>
      </c>
      <c r="Q51" s="22" t="s">
        <v>63</v>
      </c>
      <c r="R51" s="29">
        <f t="shared" si="0"/>
        <v>1200</v>
      </c>
      <c r="S51" s="30">
        <v>4.5</v>
      </c>
      <c r="T51" s="31">
        <f t="shared" si="1"/>
        <v>5400</v>
      </c>
      <c r="U51" s="22">
        <v>60</v>
      </c>
      <c r="V51" s="26">
        <v>30</v>
      </c>
      <c r="W51" s="27">
        <v>55</v>
      </c>
      <c r="X51" s="32">
        <f t="shared" si="2"/>
        <v>0.099</v>
      </c>
      <c r="Y51" s="33">
        <f t="shared" si="3"/>
        <v>0.396</v>
      </c>
      <c r="Z51" s="23">
        <v>47</v>
      </c>
      <c r="AA51" s="34">
        <f t="shared" si="4"/>
        <v>188</v>
      </c>
    </row>
    <row r="52" ht="100" customHeight="1" spans="1:27">
      <c r="A52" s="21" t="s">
        <v>158</v>
      </c>
      <c r="B52" s="22" t="s">
        <v>159</v>
      </c>
      <c r="C52" s="23" t="s">
        <v>159</v>
      </c>
      <c r="D52" s="24"/>
      <c r="E52" s="25" t="s">
        <v>149</v>
      </c>
      <c r="F52" s="23" t="s">
        <v>70</v>
      </c>
      <c r="G52" s="23" t="s">
        <v>62</v>
      </c>
      <c r="H52" s="22">
        <v>0</v>
      </c>
      <c r="I52" s="26">
        <v>0</v>
      </c>
      <c r="J52" s="22">
        <v>4</v>
      </c>
      <c r="K52" s="26">
        <v>120</v>
      </c>
      <c r="L52" s="27">
        <v>0.5</v>
      </c>
      <c r="M52" s="23" t="s">
        <v>51</v>
      </c>
      <c r="N52" s="28">
        <v>4</v>
      </c>
      <c r="O52" s="23">
        <v>300</v>
      </c>
      <c r="P52" s="23" t="s">
        <v>52</v>
      </c>
      <c r="Q52" s="22" t="s">
        <v>63</v>
      </c>
      <c r="R52" s="29">
        <f t="shared" si="0"/>
        <v>1200</v>
      </c>
      <c r="S52" s="30">
        <v>4.5</v>
      </c>
      <c r="T52" s="31">
        <f t="shared" si="1"/>
        <v>5400</v>
      </c>
      <c r="U52" s="22">
        <v>60</v>
      </c>
      <c r="V52" s="26">
        <v>30</v>
      </c>
      <c r="W52" s="27">
        <v>55</v>
      </c>
      <c r="X52" s="32">
        <f t="shared" si="2"/>
        <v>0.099</v>
      </c>
      <c r="Y52" s="33">
        <f t="shared" si="3"/>
        <v>0.396</v>
      </c>
      <c r="Z52" s="23">
        <v>46</v>
      </c>
      <c r="AA52" s="34">
        <f t="shared" si="4"/>
        <v>184</v>
      </c>
    </row>
    <row r="53" ht="100" customHeight="1" spans="1:27">
      <c r="A53" s="21" t="s">
        <v>160</v>
      </c>
      <c r="B53" s="22" t="s">
        <v>161</v>
      </c>
      <c r="C53" s="23" t="s">
        <v>161</v>
      </c>
      <c r="D53" s="24"/>
      <c r="E53" s="25" t="s">
        <v>149</v>
      </c>
      <c r="F53" s="23" t="s">
        <v>70</v>
      </c>
      <c r="G53" s="23" t="s">
        <v>62</v>
      </c>
      <c r="H53" s="22">
        <v>0</v>
      </c>
      <c r="I53" s="26">
        <v>0</v>
      </c>
      <c r="J53" s="22">
        <v>4</v>
      </c>
      <c r="K53" s="26">
        <v>120</v>
      </c>
      <c r="L53" s="27">
        <v>0.5</v>
      </c>
      <c r="M53" s="23" t="s">
        <v>51</v>
      </c>
      <c r="N53" s="28">
        <v>4</v>
      </c>
      <c r="O53" s="23">
        <v>300</v>
      </c>
      <c r="P53" s="23" t="s">
        <v>52</v>
      </c>
      <c r="Q53" s="22" t="s">
        <v>63</v>
      </c>
      <c r="R53" s="29">
        <f t="shared" si="0"/>
        <v>1200</v>
      </c>
      <c r="S53" s="30">
        <v>4.5</v>
      </c>
      <c r="T53" s="31">
        <f t="shared" si="1"/>
        <v>5400</v>
      </c>
      <c r="U53" s="22">
        <v>60</v>
      </c>
      <c r="V53" s="26">
        <v>30</v>
      </c>
      <c r="W53" s="27">
        <v>55</v>
      </c>
      <c r="X53" s="32">
        <f t="shared" si="2"/>
        <v>0.099</v>
      </c>
      <c r="Y53" s="33">
        <f t="shared" si="3"/>
        <v>0.396</v>
      </c>
      <c r="Z53" s="23">
        <v>46</v>
      </c>
      <c r="AA53" s="34">
        <f t="shared" si="4"/>
        <v>184</v>
      </c>
    </row>
    <row r="54" ht="100" customHeight="1" spans="1:27">
      <c r="A54" s="21" t="s">
        <v>162</v>
      </c>
      <c r="B54" s="22" t="s">
        <v>163</v>
      </c>
      <c r="C54" s="23" t="s">
        <v>163</v>
      </c>
      <c r="D54" s="24"/>
      <c r="E54" s="25" t="s">
        <v>149</v>
      </c>
      <c r="F54" s="23" t="s">
        <v>70</v>
      </c>
      <c r="G54" s="23" t="s">
        <v>62</v>
      </c>
      <c r="H54" s="22">
        <v>0</v>
      </c>
      <c r="I54" s="26">
        <v>0</v>
      </c>
      <c r="J54" s="22">
        <v>4</v>
      </c>
      <c r="K54" s="26">
        <v>120</v>
      </c>
      <c r="L54" s="27">
        <v>0.5</v>
      </c>
      <c r="M54" s="23" t="s">
        <v>51</v>
      </c>
      <c r="N54" s="28">
        <v>5</v>
      </c>
      <c r="O54" s="23">
        <v>120</v>
      </c>
      <c r="P54" s="23" t="s">
        <v>52</v>
      </c>
      <c r="Q54" s="22" t="s">
        <v>63</v>
      </c>
      <c r="R54" s="29">
        <f t="shared" si="0"/>
        <v>600</v>
      </c>
      <c r="S54" s="30">
        <v>5.8</v>
      </c>
      <c r="T54" s="31">
        <f t="shared" si="1"/>
        <v>3480</v>
      </c>
      <c r="U54" s="22">
        <v>60</v>
      </c>
      <c r="V54" s="26">
        <v>26</v>
      </c>
      <c r="W54" s="27">
        <v>35</v>
      </c>
      <c r="X54" s="32">
        <f t="shared" si="2"/>
        <v>0.0546</v>
      </c>
      <c r="Y54" s="33">
        <f t="shared" si="3"/>
        <v>0.273</v>
      </c>
      <c r="Z54" s="23">
        <v>26</v>
      </c>
      <c r="AA54" s="34">
        <f t="shared" si="4"/>
        <v>130</v>
      </c>
    </row>
    <row r="55" ht="100" customHeight="1" spans="1:27">
      <c r="A55" s="21" t="s">
        <v>164</v>
      </c>
      <c r="B55" s="22" t="s">
        <v>165</v>
      </c>
      <c r="C55" s="23" t="s">
        <v>165</v>
      </c>
      <c r="D55" s="24"/>
      <c r="E55" s="25" t="s">
        <v>149</v>
      </c>
      <c r="F55" s="23" t="s">
        <v>70</v>
      </c>
      <c r="G55" s="23" t="s">
        <v>62</v>
      </c>
      <c r="H55" s="22">
        <v>0</v>
      </c>
      <c r="I55" s="26">
        <v>0</v>
      </c>
      <c r="J55" s="22">
        <v>4</v>
      </c>
      <c r="K55" s="26">
        <v>120</v>
      </c>
      <c r="L55" s="27">
        <v>0.5</v>
      </c>
      <c r="M55" s="23" t="s">
        <v>51</v>
      </c>
      <c r="N55" s="28">
        <v>5</v>
      </c>
      <c r="O55" s="23">
        <v>120</v>
      </c>
      <c r="P55" s="23" t="s">
        <v>52</v>
      </c>
      <c r="Q55" s="22" t="s">
        <v>63</v>
      </c>
      <c r="R55" s="29">
        <f t="shared" si="0"/>
        <v>600</v>
      </c>
      <c r="S55" s="30">
        <v>5.8</v>
      </c>
      <c r="T55" s="31">
        <f t="shared" si="1"/>
        <v>3480</v>
      </c>
      <c r="U55" s="22">
        <v>60</v>
      </c>
      <c r="V55" s="26">
        <v>26</v>
      </c>
      <c r="W55" s="27">
        <v>33</v>
      </c>
      <c r="X55" s="32">
        <f t="shared" si="2"/>
        <v>0.05148</v>
      </c>
      <c r="Y55" s="33">
        <f t="shared" si="3"/>
        <v>0.2574</v>
      </c>
      <c r="Z55" s="23">
        <v>26.7</v>
      </c>
      <c r="AA55" s="34">
        <f t="shared" si="4"/>
        <v>133.5</v>
      </c>
    </row>
    <row r="56" ht="100" customHeight="1" spans="1:27">
      <c r="A56" s="21" t="s">
        <v>166</v>
      </c>
      <c r="B56" s="22" t="s">
        <v>167</v>
      </c>
      <c r="C56" s="23" t="s">
        <v>167</v>
      </c>
      <c r="D56" s="24"/>
      <c r="E56" s="25" t="s">
        <v>149</v>
      </c>
      <c r="F56" s="23" t="s">
        <v>70</v>
      </c>
      <c r="G56" s="23" t="s">
        <v>62</v>
      </c>
      <c r="H56" s="22">
        <v>0</v>
      </c>
      <c r="I56" s="26">
        <v>0</v>
      </c>
      <c r="J56" s="22">
        <v>4</v>
      </c>
      <c r="K56" s="26">
        <v>120</v>
      </c>
      <c r="L56" s="27">
        <v>0.5</v>
      </c>
      <c r="M56" s="23" t="s">
        <v>51</v>
      </c>
      <c r="N56" s="28">
        <v>5</v>
      </c>
      <c r="O56" s="23">
        <v>120</v>
      </c>
      <c r="P56" s="23" t="s">
        <v>52</v>
      </c>
      <c r="Q56" s="22" t="s">
        <v>63</v>
      </c>
      <c r="R56" s="29">
        <f t="shared" si="0"/>
        <v>600</v>
      </c>
      <c r="S56" s="30">
        <v>5.8</v>
      </c>
      <c r="T56" s="31">
        <f t="shared" si="1"/>
        <v>3480</v>
      </c>
      <c r="U56" s="22">
        <v>60</v>
      </c>
      <c r="V56" s="26">
        <v>26</v>
      </c>
      <c r="W56" s="27">
        <v>33</v>
      </c>
      <c r="X56" s="32">
        <f t="shared" si="2"/>
        <v>0.05148</v>
      </c>
      <c r="Y56" s="33">
        <f t="shared" si="3"/>
        <v>0.2574</v>
      </c>
      <c r="Z56" s="23">
        <v>26</v>
      </c>
      <c r="AA56" s="34">
        <f t="shared" si="4"/>
        <v>130</v>
      </c>
    </row>
    <row r="57" ht="100" customHeight="1" spans="1:27">
      <c r="A57" s="21" t="s">
        <v>168</v>
      </c>
      <c r="B57" s="22" t="s">
        <v>169</v>
      </c>
      <c r="C57" s="23" t="s">
        <v>169</v>
      </c>
      <c r="D57" s="24"/>
      <c r="E57" s="25" t="s">
        <v>149</v>
      </c>
      <c r="F57" s="23" t="s">
        <v>70</v>
      </c>
      <c r="G57" s="23" t="s">
        <v>62</v>
      </c>
      <c r="H57" s="22">
        <v>0</v>
      </c>
      <c r="I57" s="26">
        <v>0</v>
      </c>
      <c r="J57" s="22">
        <v>4</v>
      </c>
      <c r="K57" s="26">
        <v>120</v>
      </c>
      <c r="L57" s="27">
        <v>0.5</v>
      </c>
      <c r="M57" s="23" t="s">
        <v>51</v>
      </c>
      <c r="N57" s="28">
        <v>5</v>
      </c>
      <c r="O57" s="23">
        <v>120</v>
      </c>
      <c r="P57" s="23" t="s">
        <v>52</v>
      </c>
      <c r="Q57" s="22" t="s">
        <v>63</v>
      </c>
      <c r="R57" s="29">
        <f t="shared" si="0"/>
        <v>600</v>
      </c>
      <c r="S57" s="30">
        <v>5.8</v>
      </c>
      <c r="T57" s="31">
        <f t="shared" si="1"/>
        <v>3480</v>
      </c>
      <c r="U57" s="22">
        <v>60</v>
      </c>
      <c r="V57" s="26">
        <v>26</v>
      </c>
      <c r="W57" s="27">
        <v>33</v>
      </c>
      <c r="X57" s="32">
        <f t="shared" si="2"/>
        <v>0.05148</v>
      </c>
      <c r="Y57" s="33">
        <f t="shared" si="3"/>
        <v>0.2574</v>
      </c>
      <c r="Z57" s="23">
        <v>26.5</v>
      </c>
      <c r="AA57" s="34">
        <f t="shared" si="4"/>
        <v>132.5</v>
      </c>
    </row>
    <row r="58" ht="100" customHeight="1" spans="1:27">
      <c r="A58" s="21" t="s">
        <v>170</v>
      </c>
      <c r="B58" s="22" t="s">
        <v>171</v>
      </c>
      <c r="C58" s="23" t="s">
        <v>171</v>
      </c>
      <c r="D58" s="24"/>
      <c r="E58" s="25" t="s">
        <v>149</v>
      </c>
      <c r="F58" s="23" t="s">
        <v>70</v>
      </c>
      <c r="G58" s="23" t="s">
        <v>62</v>
      </c>
      <c r="H58" s="22">
        <v>0</v>
      </c>
      <c r="I58" s="26">
        <v>0</v>
      </c>
      <c r="J58" s="22">
        <v>4</v>
      </c>
      <c r="K58" s="26">
        <v>120</v>
      </c>
      <c r="L58" s="27">
        <v>0.5</v>
      </c>
      <c r="M58" s="23" t="s">
        <v>51</v>
      </c>
      <c r="N58" s="28">
        <v>4</v>
      </c>
      <c r="O58" s="23">
        <v>300</v>
      </c>
      <c r="P58" s="23" t="s">
        <v>52</v>
      </c>
      <c r="Q58" s="22" t="s">
        <v>63</v>
      </c>
      <c r="R58" s="29">
        <f t="shared" si="0"/>
        <v>1200</v>
      </c>
      <c r="S58" s="30">
        <v>4.5</v>
      </c>
      <c r="T58" s="31">
        <f t="shared" si="1"/>
        <v>5400</v>
      </c>
      <c r="U58" s="22">
        <v>60</v>
      </c>
      <c r="V58" s="26">
        <v>26</v>
      </c>
      <c r="W58" s="27">
        <v>55</v>
      </c>
      <c r="X58" s="32">
        <f t="shared" si="2"/>
        <v>0.0858</v>
      </c>
      <c r="Y58" s="33">
        <f t="shared" si="3"/>
        <v>0.3432</v>
      </c>
      <c r="Z58" s="23">
        <v>45</v>
      </c>
      <c r="AA58" s="34">
        <f t="shared" si="4"/>
        <v>180</v>
      </c>
    </row>
    <row r="59" ht="100" customHeight="1" spans="1:27">
      <c r="A59" s="21" t="s">
        <v>172</v>
      </c>
      <c r="B59" s="22" t="s">
        <v>173</v>
      </c>
      <c r="C59" s="23" t="s">
        <v>173</v>
      </c>
      <c r="D59" s="24"/>
      <c r="E59" s="25" t="s">
        <v>149</v>
      </c>
      <c r="F59" s="23" t="s">
        <v>70</v>
      </c>
      <c r="G59" s="23" t="s">
        <v>62</v>
      </c>
      <c r="H59" s="22">
        <v>0</v>
      </c>
      <c r="I59" s="26">
        <v>0</v>
      </c>
      <c r="J59" s="22">
        <v>4</v>
      </c>
      <c r="K59" s="26">
        <v>120</v>
      </c>
      <c r="L59" s="27">
        <v>0.5</v>
      </c>
      <c r="M59" s="23" t="s">
        <v>51</v>
      </c>
      <c r="N59" s="28">
        <v>4</v>
      </c>
      <c r="O59" s="23">
        <v>300</v>
      </c>
      <c r="P59" s="23" t="s">
        <v>52</v>
      </c>
      <c r="Q59" s="22" t="s">
        <v>63</v>
      </c>
      <c r="R59" s="29">
        <f t="shared" si="0"/>
        <v>1200</v>
      </c>
      <c r="S59" s="30">
        <v>3.3</v>
      </c>
      <c r="T59" s="31">
        <f t="shared" si="1"/>
        <v>3960</v>
      </c>
      <c r="U59" s="22">
        <v>60</v>
      </c>
      <c r="V59" s="26">
        <v>30</v>
      </c>
      <c r="W59" s="27">
        <v>55</v>
      </c>
      <c r="X59" s="32">
        <f t="shared" si="2"/>
        <v>0.099</v>
      </c>
      <c r="Y59" s="33">
        <f t="shared" si="3"/>
        <v>0.396</v>
      </c>
      <c r="Z59" s="23">
        <v>41</v>
      </c>
      <c r="AA59" s="34">
        <f t="shared" si="4"/>
        <v>164</v>
      </c>
    </row>
    <row r="60" ht="100" customHeight="1" spans="1:27">
      <c r="A60" s="21" t="s">
        <v>174</v>
      </c>
      <c r="B60" s="22" t="s">
        <v>175</v>
      </c>
      <c r="C60" s="23" t="s">
        <v>175</v>
      </c>
      <c r="D60" s="24"/>
      <c r="E60" s="25" t="s">
        <v>149</v>
      </c>
      <c r="F60" s="23" t="s">
        <v>70</v>
      </c>
      <c r="G60" s="23" t="s">
        <v>62</v>
      </c>
      <c r="H60" s="22">
        <v>0</v>
      </c>
      <c r="I60" s="26">
        <v>0</v>
      </c>
      <c r="J60" s="22">
        <v>4</v>
      </c>
      <c r="K60" s="26">
        <v>120</v>
      </c>
      <c r="L60" s="27">
        <v>0.5</v>
      </c>
      <c r="M60" s="23" t="s">
        <v>51</v>
      </c>
      <c r="N60" s="28">
        <v>4</v>
      </c>
      <c r="O60" s="23">
        <v>300</v>
      </c>
      <c r="P60" s="23" t="s">
        <v>52</v>
      </c>
      <c r="Q60" s="22" t="s">
        <v>63</v>
      </c>
      <c r="R60" s="29">
        <f t="shared" si="0"/>
        <v>1200</v>
      </c>
      <c r="S60" s="30">
        <v>3.3</v>
      </c>
      <c r="T60" s="31">
        <f t="shared" si="1"/>
        <v>3960</v>
      </c>
      <c r="U60" s="22">
        <v>60</v>
      </c>
      <c r="V60" s="26">
        <v>30</v>
      </c>
      <c r="W60" s="27">
        <v>55</v>
      </c>
      <c r="X60" s="32">
        <f t="shared" si="2"/>
        <v>0.099</v>
      </c>
      <c r="Y60" s="33">
        <f t="shared" si="3"/>
        <v>0.396</v>
      </c>
      <c r="Z60" s="23">
        <v>41</v>
      </c>
      <c r="AA60" s="34">
        <f t="shared" si="4"/>
        <v>164</v>
      </c>
    </row>
    <row r="61" ht="100" customHeight="1" spans="1:27">
      <c r="A61" s="21" t="s">
        <v>176</v>
      </c>
      <c r="B61" s="22" t="s">
        <v>177</v>
      </c>
      <c r="C61" s="23" t="s">
        <v>177</v>
      </c>
      <c r="D61" s="24"/>
      <c r="E61" s="25" t="s">
        <v>149</v>
      </c>
      <c r="F61" s="23" t="s">
        <v>70</v>
      </c>
      <c r="G61" s="23" t="s">
        <v>62</v>
      </c>
      <c r="H61" s="22">
        <v>0</v>
      </c>
      <c r="I61" s="26">
        <v>0</v>
      </c>
      <c r="J61" s="22">
        <v>4</v>
      </c>
      <c r="K61" s="26">
        <v>120</v>
      </c>
      <c r="L61" s="27">
        <v>0.5</v>
      </c>
      <c r="M61" s="23" t="s">
        <v>51</v>
      </c>
      <c r="N61" s="28">
        <v>4</v>
      </c>
      <c r="O61" s="23">
        <v>300</v>
      </c>
      <c r="P61" s="23" t="s">
        <v>52</v>
      </c>
      <c r="Q61" s="22" t="s">
        <v>63</v>
      </c>
      <c r="R61" s="29">
        <f t="shared" si="0"/>
        <v>1200</v>
      </c>
      <c r="S61" s="30">
        <v>3.3</v>
      </c>
      <c r="T61" s="31">
        <f t="shared" si="1"/>
        <v>3960</v>
      </c>
      <c r="U61" s="22">
        <v>60</v>
      </c>
      <c r="V61" s="26">
        <v>30</v>
      </c>
      <c r="W61" s="27">
        <v>55</v>
      </c>
      <c r="X61" s="32">
        <f t="shared" si="2"/>
        <v>0.099</v>
      </c>
      <c r="Y61" s="33">
        <f t="shared" si="3"/>
        <v>0.396</v>
      </c>
      <c r="Z61" s="23">
        <v>38</v>
      </c>
      <c r="AA61" s="34">
        <f t="shared" si="4"/>
        <v>152</v>
      </c>
    </row>
    <row r="62" ht="100" customHeight="1" spans="1:27">
      <c r="A62" s="21" t="s">
        <v>178</v>
      </c>
      <c r="B62" s="22" t="s">
        <v>179</v>
      </c>
      <c r="C62" s="23" t="s">
        <v>179</v>
      </c>
      <c r="D62" s="24"/>
      <c r="E62" s="25" t="s">
        <v>149</v>
      </c>
      <c r="F62" s="23" t="s">
        <v>70</v>
      </c>
      <c r="G62" s="23" t="s">
        <v>62</v>
      </c>
      <c r="H62" s="22">
        <v>0</v>
      </c>
      <c r="I62" s="26">
        <v>0</v>
      </c>
      <c r="J62" s="22">
        <v>4</v>
      </c>
      <c r="K62" s="26">
        <v>120</v>
      </c>
      <c r="L62" s="27">
        <v>0.5</v>
      </c>
      <c r="M62" s="23" t="s">
        <v>51</v>
      </c>
      <c r="N62" s="28">
        <v>4</v>
      </c>
      <c r="O62" s="23">
        <v>300</v>
      </c>
      <c r="P62" s="23" t="s">
        <v>52</v>
      </c>
      <c r="Q62" s="22" t="s">
        <v>63</v>
      </c>
      <c r="R62" s="29">
        <f t="shared" si="0"/>
        <v>1200</v>
      </c>
      <c r="S62" s="30">
        <v>3.3</v>
      </c>
      <c r="T62" s="31">
        <f t="shared" si="1"/>
        <v>3960</v>
      </c>
      <c r="U62" s="22">
        <v>60</v>
      </c>
      <c r="V62" s="26">
        <v>30</v>
      </c>
      <c r="W62" s="27">
        <v>55</v>
      </c>
      <c r="X62" s="32">
        <f t="shared" si="2"/>
        <v>0.099</v>
      </c>
      <c r="Y62" s="33">
        <f t="shared" si="3"/>
        <v>0.396</v>
      </c>
      <c r="Z62" s="23">
        <v>40</v>
      </c>
      <c r="AA62" s="34">
        <f t="shared" si="4"/>
        <v>160</v>
      </c>
    </row>
    <row r="63" ht="100" customHeight="1" spans="1:27">
      <c r="A63" s="21" t="s">
        <v>180</v>
      </c>
      <c r="B63" s="22" t="s">
        <v>181</v>
      </c>
      <c r="C63" s="23" t="s">
        <v>181</v>
      </c>
      <c r="D63" s="24"/>
      <c r="E63" s="25" t="s">
        <v>149</v>
      </c>
      <c r="F63" s="23" t="s">
        <v>70</v>
      </c>
      <c r="G63" s="23" t="s">
        <v>62</v>
      </c>
      <c r="H63" s="22">
        <v>0</v>
      </c>
      <c r="I63" s="26">
        <v>0</v>
      </c>
      <c r="J63" s="22">
        <v>3</v>
      </c>
      <c r="K63" s="26">
        <v>89</v>
      </c>
      <c r="L63" s="27">
        <v>0.5</v>
      </c>
      <c r="M63" s="23" t="s">
        <v>51</v>
      </c>
      <c r="N63" s="28">
        <v>2</v>
      </c>
      <c r="O63" s="23">
        <v>600</v>
      </c>
      <c r="P63" s="23" t="s">
        <v>52</v>
      </c>
      <c r="Q63" s="22" t="s">
        <v>63</v>
      </c>
      <c r="R63" s="29">
        <f t="shared" ref="R63:R71" si="5">N63*O63</f>
        <v>1200</v>
      </c>
      <c r="S63" s="30">
        <v>2.5</v>
      </c>
      <c r="T63" s="31">
        <f t="shared" ref="T63:T71" si="6">R63*S63</f>
        <v>3000</v>
      </c>
      <c r="U63" s="22">
        <v>60</v>
      </c>
      <c r="V63" s="26">
        <v>30</v>
      </c>
      <c r="W63" s="27">
        <v>60</v>
      </c>
      <c r="X63" s="32">
        <f t="shared" ref="X63:X71" si="7">(U63*V63*W63)/1000000</f>
        <v>0.108</v>
      </c>
      <c r="Y63" s="33">
        <f t="shared" ref="Y63:Y71" si="8">X63*N63</f>
        <v>0.216</v>
      </c>
      <c r="Z63" s="23">
        <v>46</v>
      </c>
      <c r="AA63" s="34">
        <f t="shared" ref="AA63:AA71" si="9">Z63*N63</f>
        <v>92</v>
      </c>
    </row>
    <row r="64" ht="100" customHeight="1" spans="1:27">
      <c r="A64" s="21" t="s">
        <v>182</v>
      </c>
      <c r="B64" s="22" t="s">
        <v>183</v>
      </c>
      <c r="C64" s="23" t="s">
        <v>183</v>
      </c>
      <c r="D64" s="24"/>
      <c r="E64" s="25" t="s">
        <v>149</v>
      </c>
      <c r="F64" s="23" t="s">
        <v>70</v>
      </c>
      <c r="G64" s="23" t="s">
        <v>62</v>
      </c>
      <c r="H64" s="22">
        <v>0</v>
      </c>
      <c r="I64" s="26">
        <v>0</v>
      </c>
      <c r="J64" s="22">
        <v>3</v>
      </c>
      <c r="K64" s="26">
        <v>89</v>
      </c>
      <c r="L64" s="27">
        <v>0.5</v>
      </c>
      <c r="M64" s="23" t="s">
        <v>51</v>
      </c>
      <c r="N64" s="28">
        <v>2</v>
      </c>
      <c r="O64" s="23">
        <v>600</v>
      </c>
      <c r="P64" s="23" t="s">
        <v>52</v>
      </c>
      <c r="Q64" s="22" t="s">
        <v>63</v>
      </c>
      <c r="R64" s="29">
        <f t="shared" si="5"/>
        <v>1200</v>
      </c>
      <c r="S64" s="30">
        <v>2.5</v>
      </c>
      <c r="T64" s="31">
        <f t="shared" si="6"/>
        <v>3000</v>
      </c>
      <c r="U64" s="22">
        <v>60</v>
      </c>
      <c r="V64" s="26">
        <v>30</v>
      </c>
      <c r="W64" s="27">
        <v>60</v>
      </c>
      <c r="X64" s="32">
        <f t="shared" si="7"/>
        <v>0.108</v>
      </c>
      <c r="Y64" s="33">
        <f t="shared" si="8"/>
        <v>0.216</v>
      </c>
      <c r="Z64" s="23">
        <v>46</v>
      </c>
      <c r="AA64" s="34">
        <f t="shared" si="9"/>
        <v>92</v>
      </c>
    </row>
    <row r="65" ht="100" customHeight="1" spans="1:27">
      <c r="A65" s="21" t="s">
        <v>184</v>
      </c>
      <c r="B65" s="22" t="s">
        <v>185</v>
      </c>
      <c r="C65" s="23" t="s">
        <v>185</v>
      </c>
      <c r="D65" s="24"/>
      <c r="E65" s="25" t="s">
        <v>149</v>
      </c>
      <c r="F65" s="23" t="s">
        <v>50</v>
      </c>
      <c r="G65" s="23" t="s">
        <v>62</v>
      </c>
      <c r="H65" s="22">
        <v>0</v>
      </c>
      <c r="I65" s="26">
        <v>0</v>
      </c>
      <c r="J65" s="22">
        <v>3.5</v>
      </c>
      <c r="K65" s="26">
        <v>118</v>
      </c>
      <c r="L65" s="27">
        <v>0.5</v>
      </c>
      <c r="M65" s="23" t="s">
        <v>51</v>
      </c>
      <c r="N65" s="28">
        <v>4</v>
      </c>
      <c r="O65" s="23">
        <v>300</v>
      </c>
      <c r="P65" s="23" t="s">
        <v>52</v>
      </c>
      <c r="Q65" s="22" t="s">
        <v>63</v>
      </c>
      <c r="R65" s="29">
        <f t="shared" si="5"/>
        <v>1200</v>
      </c>
      <c r="S65" s="30">
        <v>4.5</v>
      </c>
      <c r="T65" s="31">
        <f t="shared" si="6"/>
        <v>5400</v>
      </c>
      <c r="U65" s="22">
        <v>60</v>
      </c>
      <c r="V65" s="26">
        <v>30</v>
      </c>
      <c r="W65" s="27">
        <v>50</v>
      </c>
      <c r="X65" s="32">
        <f t="shared" si="7"/>
        <v>0.09</v>
      </c>
      <c r="Y65" s="33">
        <f t="shared" si="8"/>
        <v>0.36</v>
      </c>
      <c r="Z65" s="23">
        <v>41</v>
      </c>
      <c r="AA65" s="34">
        <f t="shared" si="9"/>
        <v>164</v>
      </c>
    </row>
    <row r="66" ht="100" customHeight="1" spans="1:27">
      <c r="A66" s="21" t="s">
        <v>186</v>
      </c>
      <c r="B66" s="22" t="s">
        <v>187</v>
      </c>
      <c r="C66" s="23" t="s">
        <v>187</v>
      </c>
      <c r="D66" s="24"/>
      <c r="E66" s="25" t="s">
        <v>149</v>
      </c>
      <c r="F66" s="23" t="s">
        <v>50</v>
      </c>
      <c r="G66" s="23" t="s">
        <v>62</v>
      </c>
      <c r="H66" s="22">
        <v>0</v>
      </c>
      <c r="I66" s="26">
        <v>0</v>
      </c>
      <c r="J66" s="22">
        <v>3.5</v>
      </c>
      <c r="K66" s="26">
        <v>118</v>
      </c>
      <c r="L66" s="27">
        <v>0.5</v>
      </c>
      <c r="M66" s="23" t="s">
        <v>51</v>
      </c>
      <c r="N66" s="28">
        <v>4</v>
      </c>
      <c r="O66" s="23">
        <v>300</v>
      </c>
      <c r="P66" s="23" t="s">
        <v>52</v>
      </c>
      <c r="Q66" s="22" t="s">
        <v>63</v>
      </c>
      <c r="R66" s="29">
        <f t="shared" si="5"/>
        <v>1200</v>
      </c>
      <c r="S66" s="30">
        <v>4.8</v>
      </c>
      <c r="T66" s="31">
        <f t="shared" si="6"/>
        <v>5760</v>
      </c>
      <c r="U66" s="22">
        <v>60</v>
      </c>
      <c r="V66" s="26">
        <v>30</v>
      </c>
      <c r="W66" s="27">
        <v>50</v>
      </c>
      <c r="X66" s="32">
        <f t="shared" si="7"/>
        <v>0.09</v>
      </c>
      <c r="Y66" s="33">
        <f t="shared" si="8"/>
        <v>0.36</v>
      </c>
      <c r="Z66" s="23">
        <v>41</v>
      </c>
      <c r="AA66" s="34">
        <f t="shared" si="9"/>
        <v>164</v>
      </c>
    </row>
    <row r="67" ht="100" customHeight="1" spans="1:27">
      <c r="A67" s="21" t="s">
        <v>188</v>
      </c>
      <c r="B67" s="22" t="s">
        <v>189</v>
      </c>
      <c r="C67" s="23" t="s">
        <v>189</v>
      </c>
      <c r="D67" s="24"/>
      <c r="E67" s="25" t="s">
        <v>149</v>
      </c>
      <c r="F67" s="23" t="s">
        <v>50</v>
      </c>
      <c r="G67" s="23" t="s">
        <v>62</v>
      </c>
      <c r="H67" s="22">
        <v>0</v>
      </c>
      <c r="I67" s="26">
        <v>0</v>
      </c>
      <c r="J67" s="22">
        <v>3.5</v>
      </c>
      <c r="K67" s="26">
        <v>118</v>
      </c>
      <c r="L67" s="27">
        <v>0.5</v>
      </c>
      <c r="M67" s="23" t="s">
        <v>51</v>
      </c>
      <c r="N67" s="28">
        <v>4</v>
      </c>
      <c r="O67" s="23">
        <v>300</v>
      </c>
      <c r="P67" s="23" t="s">
        <v>52</v>
      </c>
      <c r="Q67" s="22" t="s">
        <v>63</v>
      </c>
      <c r="R67" s="29">
        <f t="shared" si="5"/>
        <v>1200</v>
      </c>
      <c r="S67" s="30">
        <v>4.8</v>
      </c>
      <c r="T67" s="31">
        <f t="shared" si="6"/>
        <v>5760</v>
      </c>
      <c r="U67" s="22">
        <v>60</v>
      </c>
      <c r="V67" s="26">
        <v>30</v>
      </c>
      <c r="W67" s="27">
        <v>50</v>
      </c>
      <c r="X67" s="32">
        <f t="shared" si="7"/>
        <v>0.09</v>
      </c>
      <c r="Y67" s="33">
        <f t="shared" si="8"/>
        <v>0.36</v>
      </c>
      <c r="Z67" s="23">
        <v>41</v>
      </c>
      <c r="AA67" s="34">
        <f t="shared" si="9"/>
        <v>164</v>
      </c>
    </row>
    <row r="68" ht="100" customHeight="1" spans="1:27">
      <c r="A68" s="21" t="s">
        <v>190</v>
      </c>
      <c r="B68" s="22" t="s">
        <v>191</v>
      </c>
      <c r="C68" s="23" t="s">
        <v>191</v>
      </c>
      <c r="D68" s="24"/>
      <c r="E68" s="25" t="s">
        <v>149</v>
      </c>
      <c r="F68" s="23" t="s">
        <v>70</v>
      </c>
      <c r="G68" s="23" t="s">
        <v>62</v>
      </c>
      <c r="H68" s="22">
        <v>0</v>
      </c>
      <c r="I68" s="26">
        <v>0</v>
      </c>
      <c r="J68" s="22">
        <v>4</v>
      </c>
      <c r="K68" s="26">
        <v>120</v>
      </c>
      <c r="L68" s="27">
        <v>0.5</v>
      </c>
      <c r="M68" s="23" t="s">
        <v>51</v>
      </c>
      <c r="N68" s="28">
        <v>4</v>
      </c>
      <c r="O68" s="23">
        <v>300</v>
      </c>
      <c r="P68" s="23" t="s">
        <v>52</v>
      </c>
      <c r="Q68" s="22" t="s">
        <v>63</v>
      </c>
      <c r="R68" s="29">
        <f t="shared" si="5"/>
        <v>1200</v>
      </c>
      <c r="S68" s="30">
        <v>3.5</v>
      </c>
      <c r="T68" s="31">
        <f t="shared" si="6"/>
        <v>4200</v>
      </c>
      <c r="U68" s="22">
        <v>60</v>
      </c>
      <c r="V68" s="26">
        <v>30</v>
      </c>
      <c r="W68" s="27">
        <v>55</v>
      </c>
      <c r="X68" s="32">
        <f t="shared" si="7"/>
        <v>0.099</v>
      </c>
      <c r="Y68" s="33">
        <f t="shared" si="8"/>
        <v>0.396</v>
      </c>
      <c r="Z68" s="23">
        <v>57.6</v>
      </c>
      <c r="AA68" s="34">
        <f t="shared" si="9"/>
        <v>230.4</v>
      </c>
    </row>
    <row r="69" ht="100" customHeight="1" spans="1:27">
      <c r="A69" s="21" t="s">
        <v>192</v>
      </c>
      <c r="B69" s="22" t="s">
        <v>193</v>
      </c>
      <c r="C69" s="23" t="s">
        <v>193</v>
      </c>
      <c r="D69" s="24"/>
      <c r="E69" s="25" t="s">
        <v>149</v>
      </c>
      <c r="F69" s="23" t="s">
        <v>70</v>
      </c>
      <c r="G69" s="23" t="s">
        <v>62</v>
      </c>
      <c r="H69" s="22">
        <v>0</v>
      </c>
      <c r="I69" s="26">
        <v>0</v>
      </c>
      <c r="J69" s="22">
        <v>4</v>
      </c>
      <c r="K69" s="26">
        <v>120</v>
      </c>
      <c r="L69" s="27">
        <v>0.5</v>
      </c>
      <c r="M69" s="23" t="s">
        <v>51</v>
      </c>
      <c r="N69" s="28">
        <v>4</v>
      </c>
      <c r="O69" s="23">
        <v>300</v>
      </c>
      <c r="P69" s="23" t="s">
        <v>52</v>
      </c>
      <c r="Q69" s="22" t="s">
        <v>63</v>
      </c>
      <c r="R69" s="29">
        <f t="shared" si="5"/>
        <v>1200</v>
      </c>
      <c r="S69" s="30">
        <v>3.5</v>
      </c>
      <c r="T69" s="31">
        <f t="shared" si="6"/>
        <v>4200</v>
      </c>
      <c r="U69" s="22">
        <v>60</v>
      </c>
      <c r="V69" s="26">
        <v>30</v>
      </c>
      <c r="W69" s="27">
        <v>55</v>
      </c>
      <c r="X69" s="32">
        <f t="shared" si="7"/>
        <v>0.099</v>
      </c>
      <c r="Y69" s="33">
        <f t="shared" si="8"/>
        <v>0.396</v>
      </c>
      <c r="Z69" s="23">
        <v>56</v>
      </c>
      <c r="AA69" s="34">
        <f t="shared" si="9"/>
        <v>224</v>
      </c>
    </row>
    <row r="70" ht="100" customHeight="1" spans="1:27">
      <c r="A70" s="21" t="s">
        <v>194</v>
      </c>
      <c r="B70" s="22" t="s">
        <v>195</v>
      </c>
      <c r="C70" s="23" t="s">
        <v>195</v>
      </c>
      <c r="D70" s="24"/>
      <c r="E70" s="25" t="s">
        <v>149</v>
      </c>
      <c r="F70" s="23" t="s">
        <v>70</v>
      </c>
      <c r="G70" s="23" t="s">
        <v>62</v>
      </c>
      <c r="H70" s="22">
        <v>0</v>
      </c>
      <c r="I70" s="26">
        <v>0</v>
      </c>
      <c r="J70" s="22">
        <v>4</v>
      </c>
      <c r="K70" s="26">
        <v>120</v>
      </c>
      <c r="L70" s="27">
        <v>0.5</v>
      </c>
      <c r="M70" s="23" t="s">
        <v>51</v>
      </c>
      <c r="N70" s="28">
        <v>4</v>
      </c>
      <c r="O70" s="23">
        <v>300</v>
      </c>
      <c r="P70" s="23" t="s">
        <v>52</v>
      </c>
      <c r="Q70" s="22" t="s">
        <v>63</v>
      </c>
      <c r="R70" s="29">
        <f t="shared" si="5"/>
        <v>1200</v>
      </c>
      <c r="S70" s="30">
        <v>3.5</v>
      </c>
      <c r="T70" s="31">
        <f t="shared" si="6"/>
        <v>4200</v>
      </c>
      <c r="U70" s="22">
        <v>60</v>
      </c>
      <c r="V70" s="26">
        <v>30</v>
      </c>
      <c r="W70" s="27">
        <v>55</v>
      </c>
      <c r="X70" s="32">
        <f t="shared" si="7"/>
        <v>0.099</v>
      </c>
      <c r="Y70" s="33">
        <f t="shared" si="8"/>
        <v>0.396</v>
      </c>
      <c r="Z70" s="23">
        <v>56</v>
      </c>
      <c r="AA70" s="34">
        <f t="shared" si="9"/>
        <v>224</v>
      </c>
    </row>
    <row r="71" ht="100" customHeight="1" spans="1:27">
      <c r="A71" s="21" t="s">
        <v>196</v>
      </c>
      <c r="B71" s="22" t="s">
        <v>197</v>
      </c>
      <c r="C71" s="23" t="s">
        <v>197</v>
      </c>
      <c r="D71" s="24"/>
      <c r="E71" s="25" t="s">
        <v>149</v>
      </c>
      <c r="F71" s="23" t="s">
        <v>70</v>
      </c>
      <c r="G71" s="23" t="s">
        <v>62</v>
      </c>
      <c r="H71" s="22">
        <v>0</v>
      </c>
      <c r="I71" s="26">
        <v>0</v>
      </c>
      <c r="J71" s="22">
        <v>4</v>
      </c>
      <c r="K71" s="26">
        <v>120</v>
      </c>
      <c r="L71" s="27">
        <v>0.5</v>
      </c>
      <c r="M71" s="23" t="s">
        <v>51</v>
      </c>
      <c r="N71" s="28">
        <v>4</v>
      </c>
      <c r="O71" s="23">
        <v>300</v>
      </c>
      <c r="P71" s="23" t="s">
        <v>52</v>
      </c>
      <c r="Q71" s="22" t="s">
        <v>63</v>
      </c>
      <c r="R71" s="29">
        <f t="shared" si="5"/>
        <v>1200</v>
      </c>
      <c r="S71" s="30">
        <v>3.5</v>
      </c>
      <c r="T71" s="31">
        <f t="shared" si="6"/>
        <v>4200</v>
      </c>
      <c r="U71" s="22">
        <v>60</v>
      </c>
      <c r="V71" s="26">
        <v>30</v>
      </c>
      <c r="W71" s="27">
        <v>55</v>
      </c>
      <c r="X71" s="32">
        <f t="shared" si="7"/>
        <v>0.099</v>
      </c>
      <c r="Y71" s="33">
        <f t="shared" si="8"/>
        <v>0.396</v>
      </c>
      <c r="Z71" s="23">
        <v>60</v>
      </c>
      <c r="AA71" s="34">
        <f t="shared" si="9"/>
        <v>240</v>
      </c>
    </row>
    <row r="72" ht="100" customHeight="1" spans="1:27">
      <c r="A72" s="21" t="s">
        <v>198</v>
      </c>
      <c r="B72" s="22" t="s">
        <v>199</v>
      </c>
      <c r="C72" s="23" t="s">
        <v>199</v>
      </c>
      <c r="D72" s="24"/>
      <c r="E72" s="25" t="s">
        <v>149</v>
      </c>
      <c r="F72" s="23" t="s">
        <v>50</v>
      </c>
      <c r="G72" s="23" t="s">
        <v>62</v>
      </c>
      <c r="H72" s="22">
        <v>0</v>
      </c>
      <c r="I72" s="26">
        <v>0</v>
      </c>
      <c r="J72" s="22">
        <v>4</v>
      </c>
      <c r="K72" s="26">
        <v>120</v>
      </c>
      <c r="L72" s="27">
        <v>0.5</v>
      </c>
      <c r="M72" s="23" t="s">
        <v>51</v>
      </c>
      <c r="N72" s="28">
        <v>4</v>
      </c>
      <c r="O72" s="23">
        <v>300</v>
      </c>
      <c r="P72" s="23" t="s">
        <v>52</v>
      </c>
      <c r="Q72" s="22" t="s">
        <v>63</v>
      </c>
      <c r="R72" s="29">
        <f t="shared" ref="R72:R79" si="10">N72*O72</f>
        <v>1200</v>
      </c>
      <c r="S72" s="30">
        <v>2.6</v>
      </c>
      <c r="T72" s="31">
        <f t="shared" ref="T72:T79" si="11">R72*S72</f>
        <v>3120</v>
      </c>
      <c r="U72" s="22">
        <v>60</v>
      </c>
      <c r="V72" s="26">
        <v>30</v>
      </c>
      <c r="W72" s="27">
        <v>55</v>
      </c>
      <c r="X72" s="32">
        <f t="shared" ref="X72:X79" si="12">(U72*V72*W72)/1000000</f>
        <v>0.099</v>
      </c>
      <c r="Y72" s="33">
        <f t="shared" ref="Y72:Y79" si="13">X72*N72</f>
        <v>0.396</v>
      </c>
      <c r="Z72" s="23">
        <v>34.7</v>
      </c>
      <c r="AA72" s="34">
        <f t="shared" ref="AA72:AA79" si="14">Z72*N72</f>
        <v>138.8</v>
      </c>
    </row>
    <row r="73" ht="100" customHeight="1" spans="1:27">
      <c r="A73" s="21" t="s">
        <v>200</v>
      </c>
      <c r="B73" s="22" t="s">
        <v>201</v>
      </c>
      <c r="C73" s="23" t="s">
        <v>201</v>
      </c>
      <c r="D73" s="24"/>
      <c r="E73" s="25" t="s">
        <v>149</v>
      </c>
      <c r="F73" s="23" t="s">
        <v>50</v>
      </c>
      <c r="G73" s="23" t="s">
        <v>62</v>
      </c>
      <c r="H73" s="22">
        <v>0</v>
      </c>
      <c r="I73" s="26">
        <v>0</v>
      </c>
      <c r="J73" s="22">
        <v>4</v>
      </c>
      <c r="K73" s="26">
        <v>120</v>
      </c>
      <c r="L73" s="27">
        <v>0.5</v>
      </c>
      <c r="M73" s="23" t="s">
        <v>51</v>
      </c>
      <c r="N73" s="28">
        <v>4</v>
      </c>
      <c r="O73" s="23">
        <v>300</v>
      </c>
      <c r="P73" s="23" t="s">
        <v>52</v>
      </c>
      <c r="Q73" s="22" t="s">
        <v>63</v>
      </c>
      <c r="R73" s="29">
        <f t="shared" si="10"/>
        <v>1200</v>
      </c>
      <c r="S73" s="30">
        <v>2.6</v>
      </c>
      <c r="T73" s="31">
        <f t="shared" si="11"/>
        <v>3120</v>
      </c>
      <c r="U73" s="22">
        <v>60</v>
      </c>
      <c r="V73" s="26">
        <v>30</v>
      </c>
      <c r="W73" s="27">
        <v>55</v>
      </c>
      <c r="X73" s="32">
        <f t="shared" si="12"/>
        <v>0.099</v>
      </c>
      <c r="Y73" s="33">
        <f t="shared" si="13"/>
        <v>0.396</v>
      </c>
      <c r="Z73" s="23">
        <v>36</v>
      </c>
      <c r="AA73" s="34">
        <f t="shared" si="14"/>
        <v>144</v>
      </c>
    </row>
    <row r="74" ht="100" customHeight="1" spans="1:27">
      <c r="A74" s="21" t="s">
        <v>202</v>
      </c>
      <c r="B74" s="22" t="s">
        <v>203</v>
      </c>
      <c r="C74" s="23" t="s">
        <v>203</v>
      </c>
      <c r="D74" s="24"/>
      <c r="E74" s="25" t="s">
        <v>149</v>
      </c>
      <c r="F74" s="23" t="s">
        <v>50</v>
      </c>
      <c r="G74" s="23" t="s">
        <v>62</v>
      </c>
      <c r="H74" s="22">
        <v>0</v>
      </c>
      <c r="I74" s="26">
        <v>0</v>
      </c>
      <c r="J74" s="22">
        <v>3.5</v>
      </c>
      <c r="K74" s="26">
        <v>120</v>
      </c>
      <c r="L74" s="27">
        <v>0.5</v>
      </c>
      <c r="M74" s="23" t="s">
        <v>51</v>
      </c>
      <c r="N74" s="28">
        <v>4</v>
      </c>
      <c r="O74" s="23">
        <v>300</v>
      </c>
      <c r="P74" s="23" t="s">
        <v>52</v>
      </c>
      <c r="Q74" s="22" t="s">
        <v>63</v>
      </c>
      <c r="R74" s="29">
        <f t="shared" si="10"/>
        <v>1200</v>
      </c>
      <c r="S74" s="30">
        <v>4.5</v>
      </c>
      <c r="T74" s="31">
        <f t="shared" si="11"/>
        <v>5400</v>
      </c>
      <c r="U74" s="22">
        <v>60</v>
      </c>
      <c r="V74" s="26">
        <v>30</v>
      </c>
      <c r="W74" s="27">
        <v>55</v>
      </c>
      <c r="X74" s="32">
        <f t="shared" si="12"/>
        <v>0.099</v>
      </c>
      <c r="Y74" s="33">
        <f t="shared" si="13"/>
        <v>0.396</v>
      </c>
      <c r="Z74" s="23">
        <v>38</v>
      </c>
      <c r="AA74" s="34">
        <f t="shared" si="14"/>
        <v>152</v>
      </c>
    </row>
    <row r="75" ht="100" customHeight="1" spans="1:27">
      <c r="A75" s="21" t="s">
        <v>204</v>
      </c>
      <c r="B75" s="22" t="s">
        <v>205</v>
      </c>
      <c r="C75" s="23" t="s">
        <v>205</v>
      </c>
      <c r="D75" s="24"/>
      <c r="E75" s="25" t="s">
        <v>149</v>
      </c>
      <c r="F75" s="23" t="s">
        <v>50</v>
      </c>
      <c r="G75" s="23" t="s">
        <v>62</v>
      </c>
      <c r="H75" s="22">
        <v>0</v>
      </c>
      <c r="I75" s="26">
        <v>0</v>
      </c>
      <c r="J75" s="22">
        <v>4</v>
      </c>
      <c r="K75" s="26">
        <v>120</v>
      </c>
      <c r="L75" s="27">
        <v>0.5</v>
      </c>
      <c r="M75" s="23" t="s">
        <v>51</v>
      </c>
      <c r="N75" s="28">
        <v>4</v>
      </c>
      <c r="O75" s="23">
        <v>300</v>
      </c>
      <c r="P75" s="23" t="s">
        <v>52</v>
      </c>
      <c r="Q75" s="22" t="s">
        <v>63</v>
      </c>
      <c r="R75" s="29">
        <f t="shared" si="10"/>
        <v>1200</v>
      </c>
      <c r="S75" s="30">
        <v>2.6</v>
      </c>
      <c r="T75" s="31">
        <f t="shared" si="11"/>
        <v>3120</v>
      </c>
      <c r="U75" s="22">
        <v>60</v>
      </c>
      <c r="V75" s="26">
        <v>30</v>
      </c>
      <c r="W75" s="27">
        <v>50</v>
      </c>
      <c r="X75" s="32">
        <f t="shared" si="12"/>
        <v>0.09</v>
      </c>
      <c r="Y75" s="33">
        <f t="shared" si="13"/>
        <v>0.36</v>
      </c>
      <c r="Z75" s="23">
        <v>32</v>
      </c>
      <c r="AA75" s="34">
        <f t="shared" si="14"/>
        <v>128</v>
      </c>
    </row>
    <row r="76" ht="100" customHeight="1" spans="1:27">
      <c r="A76" s="21" t="s">
        <v>206</v>
      </c>
      <c r="B76" s="22" t="s">
        <v>207</v>
      </c>
      <c r="C76" s="23" t="s">
        <v>207</v>
      </c>
      <c r="D76" s="24"/>
      <c r="E76" s="25" t="s">
        <v>89</v>
      </c>
      <c r="F76" s="23" t="s">
        <v>70</v>
      </c>
      <c r="G76" s="23" t="s">
        <v>82</v>
      </c>
      <c r="H76" s="22">
        <v>2</v>
      </c>
      <c r="I76" s="26">
        <v>1</v>
      </c>
      <c r="J76" s="22">
        <v>19</v>
      </c>
      <c r="K76" s="26">
        <v>10</v>
      </c>
      <c r="L76" s="27">
        <v>4.5</v>
      </c>
      <c r="M76" s="23" t="s">
        <v>51</v>
      </c>
      <c r="N76" s="28">
        <v>5</v>
      </c>
      <c r="O76" s="23">
        <v>120</v>
      </c>
      <c r="P76" s="23" t="s">
        <v>52</v>
      </c>
      <c r="Q76" s="22" t="s">
        <v>208</v>
      </c>
      <c r="R76" s="29">
        <f t="shared" si="10"/>
        <v>600</v>
      </c>
      <c r="S76" s="30">
        <v>6.1</v>
      </c>
      <c r="T76" s="31">
        <f t="shared" si="11"/>
        <v>3660</v>
      </c>
      <c r="U76" s="22">
        <v>53</v>
      </c>
      <c r="V76" s="26">
        <v>59</v>
      </c>
      <c r="W76" s="27">
        <v>40</v>
      </c>
      <c r="X76" s="32">
        <f t="shared" si="12"/>
        <v>0.12508</v>
      </c>
      <c r="Y76" s="33">
        <f t="shared" si="13"/>
        <v>0.6254</v>
      </c>
      <c r="Z76" s="23">
        <v>21.2</v>
      </c>
      <c r="AA76" s="34">
        <f t="shared" si="14"/>
        <v>106</v>
      </c>
    </row>
    <row r="77" ht="100" customHeight="1" spans="1:27">
      <c r="A77" s="21" t="s">
        <v>209</v>
      </c>
      <c r="B77" s="22" t="s">
        <v>210</v>
      </c>
      <c r="C77" s="23" t="s">
        <v>210</v>
      </c>
      <c r="D77" s="24"/>
      <c r="E77" s="25" t="s">
        <v>89</v>
      </c>
      <c r="F77" s="23" t="s">
        <v>70</v>
      </c>
      <c r="G77" s="23" t="s">
        <v>82</v>
      </c>
      <c r="H77" s="22">
        <v>1</v>
      </c>
      <c r="I77" s="26">
        <v>1</v>
      </c>
      <c r="J77" s="22">
        <v>19</v>
      </c>
      <c r="K77" s="26">
        <v>11</v>
      </c>
      <c r="L77" s="27">
        <v>4</v>
      </c>
      <c r="M77" s="23" t="s">
        <v>51</v>
      </c>
      <c r="N77" s="28">
        <v>5</v>
      </c>
      <c r="O77" s="23">
        <v>120</v>
      </c>
      <c r="P77" s="23" t="s">
        <v>52</v>
      </c>
      <c r="Q77" s="22" t="s">
        <v>208</v>
      </c>
      <c r="R77" s="29">
        <f t="shared" si="10"/>
        <v>600</v>
      </c>
      <c r="S77" s="30">
        <v>9.1</v>
      </c>
      <c r="T77" s="31">
        <f t="shared" si="11"/>
        <v>5460</v>
      </c>
      <c r="U77" s="22">
        <v>60</v>
      </c>
      <c r="V77" s="26">
        <v>50</v>
      </c>
      <c r="W77" s="27">
        <v>40</v>
      </c>
      <c r="X77" s="32">
        <f t="shared" si="12"/>
        <v>0.12</v>
      </c>
      <c r="Y77" s="33">
        <f t="shared" si="13"/>
        <v>0.6</v>
      </c>
      <c r="Z77" s="23">
        <v>26.5</v>
      </c>
      <c r="AA77" s="34">
        <f t="shared" si="14"/>
        <v>132.5</v>
      </c>
    </row>
    <row r="78" ht="100" customHeight="1" spans="1:27">
      <c r="A78" s="21" t="s">
        <v>211</v>
      </c>
      <c r="B78" s="22" t="s">
        <v>212</v>
      </c>
      <c r="C78" s="23" t="s">
        <v>212</v>
      </c>
      <c r="D78" s="24"/>
      <c r="E78" s="25" t="s">
        <v>89</v>
      </c>
      <c r="F78" s="23" t="s">
        <v>70</v>
      </c>
      <c r="G78" s="23" t="s">
        <v>82</v>
      </c>
      <c r="H78" s="22">
        <v>1</v>
      </c>
      <c r="I78" s="26">
        <v>1</v>
      </c>
      <c r="J78" s="22">
        <v>20</v>
      </c>
      <c r="K78" s="26">
        <v>11</v>
      </c>
      <c r="L78" s="27">
        <v>3.5</v>
      </c>
      <c r="M78" s="23" t="s">
        <v>51</v>
      </c>
      <c r="N78" s="28">
        <v>5</v>
      </c>
      <c r="O78" s="23">
        <v>120</v>
      </c>
      <c r="P78" s="23" t="s">
        <v>52</v>
      </c>
      <c r="Q78" s="22" t="s">
        <v>208</v>
      </c>
      <c r="R78" s="29">
        <f t="shared" si="10"/>
        <v>600</v>
      </c>
      <c r="S78" s="30">
        <v>9.1</v>
      </c>
      <c r="T78" s="31">
        <f t="shared" si="11"/>
        <v>5460</v>
      </c>
      <c r="U78" s="22">
        <v>60</v>
      </c>
      <c r="V78" s="26">
        <v>50</v>
      </c>
      <c r="W78" s="27">
        <v>40</v>
      </c>
      <c r="X78" s="32">
        <f t="shared" si="12"/>
        <v>0.12</v>
      </c>
      <c r="Y78" s="33">
        <f t="shared" si="13"/>
        <v>0.6</v>
      </c>
      <c r="Z78" s="23">
        <v>26.5</v>
      </c>
      <c r="AA78" s="34">
        <f t="shared" si="14"/>
        <v>132.5</v>
      </c>
    </row>
    <row r="79" ht="100" customHeight="1" spans="1:27">
      <c r="A79" s="21" t="s">
        <v>213</v>
      </c>
      <c r="B79" s="22" t="s">
        <v>214</v>
      </c>
      <c r="C79" s="23" t="s">
        <v>214</v>
      </c>
      <c r="D79" s="24"/>
      <c r="E79" s="25" t="s">
        <v>89</v>
      </c>
      <c r="F79" s="23" t="s">
        <v>70</v>
      </c>
      <c r="G79" s="23" t="s">
        <v>82</v>
      </c>
      <c r="H79" s="22">
        <v>1</v>
      </c>
      <c r="I79" s="26">
        <v>1</v>
      </c>
      <c r="J79" s="22">
        <v>19</v>
      </c>
      <c r="K79" s="26">
        <v>11</v>
      </c>
      <c r="L79" s="27">
        <v>4</v>
      </c>
      <c r="M79" s="23" t="s">
        <v>51</v>
      </c>
      <c r="N79" s="28">
        <v>5</v>
      </c>
      <c r="O79" s="23">
        <v>120</v>
      </c>
      <c r="P79" s="23" t="s">
        <v>52</v>
      </c>
      <c r="Q79" s="22" t="s">
        <v>208</v>
      </c>
      <c r="R79" s="29">
        <f t="shared" si="10"/>
        <v>600</v>
      </c>
      <c r="S79" s="30">
        <v>9.1</v>
      </c>
      <c r="T79" s="31">
        <f t="shared" si="11"/>
        <v>5460</v>
      </c>
      <c r="U79" s="22">
        <v>60</v>
      </c>
      <c r="V79" s="26">
        <v>50</v>
      </c>
      <c r="W79" s="27">
        <v>40</v>
      </c>
      <c r="X79" s="32">
        <f t="shared" si="12"/>
        <v>0.12</v>
      </c>
      <c r="Y79" s="33">
        <f t="shared" si="13"/>
        <v>0.6</v>
      </c>
      <c r="Z79" s="23">
        <v>30</v>
      </c>
      <c r="AA79" s="34">
        <f t="shared" si="14"/>
        <v>150</v>
      </c>
    </row>
    <row r="80" ht="100" customHeight="1" spans="1:27">
      <c r="A80" s="21" t="s">
        <v>215</v>
      </c>
      <c r="B80" s="22" t="s">
        <v>216</v>
      </c>
      <c r="C80" s="23" t="s">
        <v>216</v>
      </c>
      <c r="D80" s="24"/>
      <c r="E80" s="25" t="s">
        <v>89</v>
      </c>
      <c r="F80" s="23" t="s">
        <v>70</v>
      </c>
      <c r="G80" s="23" t="s">
        <v>82</v>
      </c>
      <c r="H80" s="22">
        <v>1</v>
      </c>
      <c r="I80" s="26">
        <v>0</v>
      </c>
      <c r="J80" s="22">
        <v>12</v>
      </c>
      <c r="K80" s="26">
        <v>8.5</v>
      </c>
      <c r="L80" s="27">
        <v>3</v>
      </c>
      <c r="M80" s="23" t="s">
        <v>51</v>
      </c>
      <c r="N80" s="28">
        <v>2</v>
      </c>
      <c r="O80" s="23">
        <v>300</v>
      </c>
      <c r="P80" s="23" t="s">
        <v>52</v>
      </c>
      <c r="Q80" s="22" t="s">
        <v>208</v>
      </c>
      <c r="R80" s="29">
        <f t="shared" ref="R80:R143" si="15">N80*O80</f>
        <v>600</v>
      </c>
      <c r="S80" s="30">
        <v>7.9</v>
      </c>
      <c r="T80" s="31">
        <f t="shared" ref="T80:T143" si="16">R80*S80</f>
        <v>4740</v>
      </c>
      <c r="U80" s="22">
        <v>49</v>
      </c>
      <c r="V80" s="26">
        <v>48</v>
      </c>
      <c r="W80" s="27">
        <v>63</v>
      </c>
      <c r="X80" s="32">
        <f t="shared" ref="X80:X143" si="17">(U80*V80*W80)/1000000</f>
        <v>0.148176</v>
      </c>
      <c r="Y80" s="33">
        <f t="shared" ref="Y80:Y143" si="18">X80*N80</f>
        <v>0.296352</v>
      </c>
      <c r="Z80" s="23">
        <v>32.5</v>
      </c>
      <c r="AA80" s="34">
        <f t="shared" ref="AA80:AA143" si="19">Z80*N80</f>
        <v>65</v>
      </c>
    </row>
    <row r="81" ht="100" customHeight="1" spans="1:27">
      <c r="A81" s="21" t="s">
        <v>217</v>
      </c>
      <c r="B81" s="22" t="s">
        <v>218</v>
      </c>
      <c r="C81" s="23" t="s">
        <v>218</v>
      </c>
      <c r="D81" s="24"/>
      <c r="E81" s="25" t="s">
        <v>89</v>
      </c>
      <c r="F81" s="23" t="s">
        <v>70</v>
      </c>
      <c r="G81" s="23" t="s">
        <v>82</v>
      </c>
      <c r="H81" s="22">
        <v>2</v>
      </c>
      <c r="I81" s="26">
        <v>1</v>
      </c>
      <c r="J81" s="22">
        <v>19</v>
      </c>
      <c r="K81" s="26">
        <v>10</v>
      </c>
      <c r="L81" s="27">
        <v>4</v>
      </c>
      <c r="M81" s="23" t="s">
        <v>51</v>
      </c>
      <c r="N81" s="28">
        <v>5</v>
      </c>
      <c r="O81" s="23">
        <v>120</v>
      </c>
      <c r="P81" s="23" t="s">
        <v>52</v>
      </c>
      <c r="Q81" s="22" t="s">
        <v>208</v>
      </c>
      <c r="R81" s="29">
        <f t="shared" si="15"/>
        <v>600</v>
      </c>
      <c r="S81" s="30">
        <v>7</v>
      </c>
      <c r="T81" s="31">
        <f t="shared" si="16"/>
        <v>4200</v>
      </c>
      <c r="U81" s="22">
        <v>53</v>
      </c>
      <c r="V81" s="26">
        <v>59</v>
      </c>
      <c r="W81" s="27">
        <v>40</v>
      </c>
      <c r="X81" s="32">
        <f t="shared" si="17"/>
        <v>0.12508</v>
      </c>
      <c r="Y81" s="33">
        <f t="shared" si="18"/>
        <v>0.6254</v>
      </c>
      <c r="Z81" s="23">
        <v>21.2</v>
      </c>
      <c r="AA81" s="34">
        <f t="shared" si="19"/>
        <v>106</v>
      </c>
    </row>
    <row r="82" ht="100" customHeight="1" spans="1:27">
      <c r="A82" s="21" t="s">
        <v>219</v>
      </c>
      <c r="B82" s="22" t="s">
        <v>220</v>
      </c>
      <c r="C82" s="23" t="s">
        <v>220</v>
      </c>
      <c r="D82" s="24"/>
      <c r="E82" s="25" t="s">
        <v>89</v>
      </c>
      <c r="F82" s="23" t="s">
        <v>70</v>
      </c>
      <c r="G82" s="23" t="s">
        <v>82</v>
      </c>
      <c r="H82" s="22">
        <v>2</v>
      </c>
      <c r="I82" s="26">
        <v>1</v>
      </c>
      <c r="J82" s="22">
        <v>19</v>
      </c>
      <c r="K82" s="26">
        <v>10</v>
      </c>
      <c r="L82" s="27">
        <v>4</v>
      </c>
      <c r="M82" s="23" t="s">
        <v>51</v>
      </c>
      <c r="N82" s="28">
        <v>5</v>
      </c>
      <c r="O82" s="23">
        <v>120</v>
      </c>
      <c r="P82" s="23" t="s">
        <v>52</v>
      </c>
      <c r="Q82" s="22" t="s">
        <v>208</v>
      </c>
      <c r="R82" s="29">
        <f t="shared" si="15"/>
        <v>600</v>
      </c>
      <c r="S82" s="30">
        <v>6</v>
      </c>
      <c r="T82" s="31">
        <f t="shared" si="16"/>
        <v>3600</v>
      </c>
      <c r="U82" s="22">
        <v>53</v>
      </c>
      <c r="V82" s="26">
        <v>59</v>
      </c>
      <c r="W82" s="27">
        <v>40</v>
      </c>
      <c r="X82" s="32">
        <f t="shared" si="17"/>
        <v>0.12508</v>
      </c>
      <c r="Y82" s="33">
        <f t="shared" si="18"/>
        <v>0.6254</v>
      </c>
      <c r="Z82" s="23">
        <v>21.2</v>
      </c>
      <c r="AA82" s="34">
        <f t="shared" si="19"/>
        <v>106</v>
      </c>
    </row>
    <row r="83" ht="100" customHeight="1" spans="1:27">
      <c r="A83" s="21" t="s">
        <v>221</v>
      </c>
      <c r="B83" s="22" t="s">
        <v>222</v>
      </c>
      <c r="C83" s="23" t="s">
        <v>222</v>
      </c>
      <c r="D83" s="24"/>
      <c r="E83" s="25" t="s">
        <v>89</v>
      </c>
      <c r="F83" s="23" t="s">
        <v>70</v>
      </c>
      <c r="G83" s="23" t="s">
        <v>82</v>
      </c>
      <c r="H83" s="22">
        <v>1</v>
      </c>
      <c r="I83" s="26">
        <v>1</v>
      </c>
      <c r="J83" s="22">
        <v>11</v>
      </c>
      <c r="K83" s="26">
        <v>8.5</v>
      </c>
      <c r="L83" s="27">
        <v>2.5</v>
      </c>
      <c r="M83" s="23" t="s">
        <v>51</v>
      </c>
      <c r="N83" s="28">
        <v>3</v>
      </c>
      <c r="O83" s="23">
        <v>360</v>
      </c>
      <c r="P83" s="23" t="s">
        <v>52</v>
      </c>
      <c r="Q83" s="22" t="s">
        <v>208</v>
      </c>
      <c r="R83" s="29">
        <f t="shared" si="15"/>
        <v>1080</v>
      </c>
      <c r="S83" s="30">
        <v>3.6</v>
      </c>
      <c r="T83" s="31">
        <f t="shared" si="16"/>
        <v>3888</v>
      </c>
      <c r="U83" s="22">
        <v>50</v>
      </c>
      <c r="V83" s="26">
        <v>60</v>
      </c>
      <c r="W83" s="27">
        <v>45</v>
      </c>
      <c r="X83" s="32">
        <f t="shared" si="17"/>
        <v>0.135</v>
      </c>
      <c r="Y83" s="33">
        <f t="shared" si="18"/>
        <v>0.405</v>
      </c>
      <c r="Z83" s="23">
        <v>21</v>
      </c>
      <c r="AA83" s="34">
        <f t="shared" si="19"/>
        <v>63</v>
      </c>
    </row>
    <row r="84" ht="100" customHeight="1" spans="1:27">
      <c r="A84" s="21" t="s">
        <v>223</v>
      </c>
      <c r="B84" s="22" t="s">
        <v>224</v>
      </c>
      <c r="C84" s="23" t="s">
        <v>224</v>
      </c>
      <c r="D84" s="24"/>
      <c r="E84" s="25" t="s">
        <v>89</v>
      </c>
      <c r="F84" s="23" t="s">
        <v>70</v>
      </c>
      <c r="G84" s="23" t="s">
        <v>82</v>
      </c>
      <c r="H84" s="22">
        <v>1</v>
      </c>
      <c r="I84" s="26">
        <v>1</v>
      </c>
      <c r="J84" s="22">
        <v>11</v>
      </c>
      <c r="K84" s="26">
        <v>9</v>
      </c>
      <c r="L84" s="27">
        <v>2.5</v>
      </c>
      <c r="M84" s="23" t="s">
        <v>51</v>
      </c>
      <c r="N84" s="28">
        <v>3</v>
      </c>
      <c r="O84" s="23">
        <v>360</v>
      </c>
      <c r="P84" s="23" t="s">
        <v>52</v>
      </c>
      <c r="Q84" s="22" t="s">
        <v>208</v>
      </c>
      <c r="R84" s="29">
        <f t="shared" si="15"/>
        <v>1080</v>
      </c>
      <c r="S84" s="30">
        <v>3.8</v>
      </c>
      <c r="T84" s="31">
        <f t="shared" si="16"/>
        <v>4104</v>
      </c>
      <c r="U84" s="22">
        <v>50</v>
      </c>
      <c r="V84" s="26">
        <v>60</v>
      </c>
      <c r="W84" s="27">
        <v>45</v>
      </c>
      <c r="X84" s="32">
        <f t="shared" si="17"/>
        <v>0.135</v>
      </c>
      <c r="Y84" s="33">
        <f t="shared" si="18"/>
        <v>0.405</v>
      </c>
      <c r="Z84" s="23">
        <v>21</v>
      </c>
      <c r="AA84" s="34">
        <f t="shared" si="19"/>
        <v>63</v>
      </c>
    </row>
    <row r="85" ht="100" customHeight="1" spans="1:27">
      <c r="A85" s="21" t="s">
        <v>225</v>
      </c>
      <c r="B85" s="22" t="s">
        <v>226</v>
      </c>
      <c r="C85" s="23" t="s">
        <v>226</v>
      </c>
      <c r="D85" s="24"/>
      <c r="E85" s="25" t="s">
        <v>89</v>
      </c>
      <c r="F85" s="23" t="s">
        <v>70</v>
      </c>
      <c r="G85" s="23" t="s">
        <v>82</v>
      </c>
      <c r="H85" s="22">
        <v>1</v>
      </c>
      <c r="I85" s="26">
        <v>1</v>
      </c>
      <c r="J85" s="22">
        <v>11</v>
      </c>
      <c r="K85" s="26">
        <v>8.5</v>
      </c>
      <c r="L85" s="27">
        <v>2.5</v>
      </c>
      <c r="M85" s="23" t="s">
        <v>51</v>
      </c>
      <c r="N85" s="28">
        <v>3</v>
      </c>
      <c r="O85" s="23">
        <v>300</v>
      </c>
      <c r="P85" s="23" t="s">
        <v>52</v>
      </c>
      <c r="Q85" s="22" t="s">
        <v>208</v>
      </c>
      <c r="R85" s="29">
        <f t="shared" si="15"/>
        <v>900</v>
      </c>
      <c r="S85" s="30">
        <v>3.8</v>
      </c>
      <c r="T85" s="31">
        <f t="shared" si="16"/>
        <v>3420</v>
      </c>
      <c r="U85" s="22">
        <v>51</v>
      </c>
      <c r="V85" s="26">
        <v>49</v>
      </c>
      <c r="W85" s="27">
        <v>59</v>
      </c>
      <c r="X85" s="32">
        <f t="shared" si="17"/>
        <v>0.147441</v>
      </c>
      <c r="Y85" s="33">
        <f t="shared" si="18"/>
        <v>0.442323</v>
      </c>
      <c r="Z85" s="23">
        <v>19</v>
      </c>
      <c r="AA85" s="34">
        <f t="shared" si="19"/>
        <v>57</v>
      </c>
    </row>
    <row r="86" ht="100" customHeight="1" spans="1:27">
      <c r="A86" s="21" t="s">
        <v>227</v>
      </c>
      <c r="B86" s="22" t="s">
        <v>228</v>
      </c>
      <c r="C86" s="23" t="s">
        <v>228</v>
      </c>
      <c r="D86" s="24"/>
      <c r="E86" s="25" t="s">
        <v>89</v>
      </c>
      <c r="F86" s="23" t="s">
        <v>70</v>
      </c>
      <c r="G86" s="23" t="s">
        <v>50</v>
      </c>
      <c r="H86" s="22">
        <v>1</v>
      </c>
      <c r="I86" s="26">
        <v>1</v>
      </c>
      <c r="J86" s="22">
        <v>11</v>
      </c>
      <c r="K86" s="26">
        <v>8.5</v>
      </c>
      <c r="L86" s="27">
        <v>2.5</v>
      </c>
      <c r="M86" s="23" t="s">
        <v>51</v>
      </c>
      <c r="N86" s="28">
        <v>3</v>
      </c>
      <c r="O86" s="23">
        <v>300</v>
      </c>
      <c r="P86" s="23" t="s">
        <v>52</v>
      </c>
      <c r="Q86" s="22" t="s">
        <v>208</v>
      </c>
      <c r="R86" s="29">
        <f t="shared" si="15"/>
        <v>900</v>
      </c>
      <c r="S86" s="30">
        <v>3.8</v>
      </c>
      <c r="T86" s="31">
        <f t="shared" si="16"/>
        <v>3420</v>
      </c>
      <c r="U86" s="22">
        <v>50</v>
      </c>
      <c r="V86" s="26">
        <v>64</v>
      </c>
      <c r="W86" s="27">
        <v>36</v>
      </c>
      <c r="X86" s="32">
        <f t="shared" si="17"/>
        <v>0.1152</v>
      </c>
      <c r="Y86" s="33">
        <f t="shared" si="18"/>
        <v>0.3456</v>
      </c>
      <c r="Z86" s="23">
        <v>16.5</v>
      </c>
      <c r="AA86" s="34">
        <f t="shared" si="19"/>
        <v>49.5</v>
      </c>
    </row>
    <row r="87" ht="100" customHeight="1" spans="1:27">
      <c r="A87" s="21" t="s">
        <v>229</v>
      </c>
      <c r="B87" s="22" t="s">
        <v>230</v>
      </c>
      <c r="C87" s="23" t="s">
        <v>230</v>
      </c>
      <c r="D87" s="24"/>
      <c r="E87" s="25" t="s">
        <v>89</v>
      </c>
      <c r="F87" s="23" t="s">
        <v>50</v>
      </c>
      <c r="G87" s="23" t="s">
        <v>82</v>
      </c>
      <c r="H87" s="22">
        <v>1</v>
      </c>
      <c r="I87" s="26">
        <v>0</v>
      </c>
      <c r="J87" s="22">
        <v>14</v>
      </c>
      <c r="K87" s="26">
        <v>9</v>
      </c>
      <c r="L87" s="27">
        <v>3</v>
      </c>
      <c r="M87" s="23" t="s">
        <v>51</v>
      </c>
      <c r="N87" s="28">
        <v>3</v>
      </c>
      <c r="O87" s="23">
        <v>240</v>
      </c>
      <c r="P87" s="23" t="s">
        <v>52</v>
      </c>
      <c r="Q87" s="22" t="s">
        <v>208</v>
      </c>
      <c r="R87" s="29">
        <f t="shared" si="15"/>
        <v>720</v>
      </c>
      <c r="S87" s="30">
        <v>8.5</v>
      </c>
      <c r="T87" s="31">
        <f t="shared" si="16"/>
        <v>6120</v>
      </c>
      <c r="U87" s="22">
        <v>55</v>
      </c>
      <c r="V87" s="26">
        <v>47</v>
      </c>
      <c r="W87" s="27">
        <v>62</v>
      </c>
      <c r="X87" s="32">
        <f t="shared" si="17"/>
        <v>0.16027</v>
      </c>
      <c r="Y87" s="33">
        <f t="shared" si="18"/>
        <v>0.48081</v>
      </c>
      <c r="Z87" s="23">
        <v>26</v>
      </c>
      <c r="AA87" s="34">
        <f t="shared" si="19"/>
        <v>78</v>
      </c>
    </row>
    <row r="88" ht="100" customHeight="1" spans="1:27">
      <c r="A88" s="21" t="s">
        <v>231</v>
      </c>
      <c r="B88" s="22" t="s">
        <v>232</v>
      </c>
      <c r="C88" s="23" t="s">
        <v>232</v>
      </c>
      <c r="D88" s="24"/>
      <c r="E88" s="25" t="s">
        <v>89</v>
      </c>
      <c r="F88" s="23" t="s">
        <v>70</v>
      </c>
      <c r="G88" s="23" t="s">
        <v>82</v>
      </c>
      <c r="H88" s="22">
        <v>2</v>
      </c>
      <c r="I88" s="26">
        <v>1</v>
      </c>
      <c r="J88" s="22">
        <v>11</v>
      </c>
      <c r="K88" s="26">
        <v>8.5</v>
      </c>
      <c r="L88" s="27">
        <v>4.5</v>
      </c>
      <c r="M88" s="23" t="s">
        <v>51</v>
      </c>
      <c r="N88" s="28">
        <v>3</v>
      </c>
      <c r="O88" s="23">
        <v>240</v>
      </c>
      <c r="P88" s="23" t="s">
        <v>52</v>
      </c>
      <c r="Q88" s="22" t="s">
        <v>208</v>
      </c>
      <c r="R88" s="29">
        <f t="shared" si="15"/>
        <v>720</v>
      </c>
      <c r="S88" s="30">
        <v>5.5</v>
      </c>
      <c r="T88" s="31">
        <f t="shared" si="16"/>
        <v>3960</v>
      </c>
      <c r="U88" s="22">
        <v>60</v>
      </c>
      <c r="V88" s="26">
        <v>50</v>
      </c>
      <c r="W88" s="27">
        <v>50</v>
      </c>
      <c r="X88" s="32">
        <f t="shared" si="17"/>
        <v>0.15</v>
      </c>
      <c r="Y88" s="33">
        <f t="shared" si="18"/>
        <v>0.45</v>
      </c>
      <c r="Z88" s="23">
        <v>20</v>
      </c>
      <c r="AA88" s="34">
        <f t="shared" si="19"/>
        <v>60</v>
      </c>
    </row>
    <row r="89" ht="100" customHeight="1" spans="1:27">
      <c r="A89" s="21" t="s">
        <v>233</v>
      </c>
      <c r="B89" s="22" t="s">
        <v>234</v>
      </c>
      <c r="C89" s="23" t="s">
        <v>234</v>
      </c>
      <c r="D89" s="24"/>
      <c r="E89" s="25" t="s">
        <v>89</v>
      </c>
      <c r="F89" s="23" t="s">
        <v>70</v>
      </c>
      <c r="G89" s="23" t="s">
        <v>82</v>
      </c>
      <c r="H89" s="22">
        <v>2</v>
      </c>
      <c r="I89" s="26">
        <v>1</v>
      </c>
      <c r="J89" s="22">
        <v>11</v>
      </c>
      <c r="K89" s="26">
        <v>8.5</v>
      </c>
      <c r="L89" s="27">
        <v>4.5</v>
      </c>
      <c r="M89" s="23" t="s">
        <v>51</v>
      </c>
      <c r="N89" s="28">
        <v>3</v>
      </c>
      <c r="O89" s="23">
        <v>240</v>
      </c>
      <c r="P89" s="23" t="s">
        <v>52</v>
      </c>
      <c r="Q89" s="22" t="s">
        <v>208</v>
      </c>
      <c r="R89" s="29">
        <f t="shared" si="15"/>
        <v>720</v>
      </c>
      <c r="S89" s="30">
        <v>5.5</v>
      </c>
      <c r="T89" s="31">
        <f t="shared" si="16"/>
        <v>3960</v>
      </c>
      <c r="U89" s="22">
        <v>51</v>
      </c>
      <c r="V89" s="26">
        <v>49</v>
      </c>
      <c r="W89" s="27">
        <v>59</v>
      </c>
      <c r="X89" s="32">
        <f t="shared" si="17"/>
        <v>0.147441</v>
      </c>
      <c r="Y89" s="33">
        <f t="shared" si="18"/>
        <v>0.442323</v>
      </c>
      <c r="Z89" s="23">
        <v>18</v>
      </c>
      <c r="AA89" s="34">
        <f t="shared" si="19"/>
        <v>54</v>
      </c>
    </row>
    <row r="90" ht="100" customHeight="1" spans="1:27">
      <c r="A90" s="21" t="s">
        <v>235</v>
      </c>
      <c r="B90" s="22" t="s">
        <v>236</v>
      </c>
      <c r="C90" s="23" t="s">
        <v>236</v>
      </c>
      <c r="D90" s="24"/>
      <c r="E90" s="25" t="s">
        <v>49</v>
      </c>
      <c r="F90" s="23" t="s">
        <v>70</v>
      </c>
      <c r="G90" s="23" t="s">
        <v>82</v>
      </c>
      <c r="H90" s="22">
        <v>0</v>
      </c>
      <c r="I90" s="26">
        <v>1</v>
      </c>
      <c r="J90" s="22">
        <v>20</v>
      </c>
      <c r="K90" s="26">
        <v>13</v>
      </c>
      <c r="L90" s="27">
        <v>6.5</v>
      </c>
      <c r="M90" s="23" t="s">
        <v>51</v>
      </c>
      <c r="N90" s="28">
        <v>5</v>
      </c>
      <c r="O90" s="23">
        <v>100</v>
      </c>
      <c r="P90" s="23" t="s">
        <v>52</v>
      </c>
      <c r="Q90" s="22" t="s">
        <v>208</v>
      </c>
      <c r="R90" s="29">
        <f t="shared" si="15"/>
        <v>500</v>
      </c>
      <c r="S90" s="30">
        <v>14</v>
      </c>
      <c r="T90" s="31">
        <f t="shared" si="16"/>
        <v>7000</v>
      </c>
      <c r="U90" s="22">
        <v>58</v>
      </c>
      <c r="V90" s="26">
        <v>50</v>
      </c>
      <c r="W90" s="27">
        <v>82</v>
      </c>
      <c r="X90" s="32">
        <f t="shared" si="17"/>
        <v>0.2378</v>
      </c>
      <c r="Y90" s="33">
        <f t="shared" si="18"/>
        <v>1.189</v>
      </c>
      <c r="Z90" s="23">
        <v>27</v>
      </c>
      <c r="AA90" s="34">
        <f t="shared" si="19"/>
        <v>135</v>
      </c>
    </row>
    <row r="91" ht="100" customHeight="1" spans="1:27">
      <c r="A91" s="21" t="s">
        <v>237</v>
      </c>
      <c r="B91" s="22" t="s">
        <v>238</v>
      </c>
      <c r="C91" s="23" t="s">
        <v>238</v>
      </c>
      <c r="D91" s="24"/>
      <c r="E91" s="25" t="s">
        <v>49</v>
      </c>
      <c r="F91" s="23" t="s">
        <v>70</v>
      </c>
      <c r="G91" s="23" t="s">
        <v>82</v>
      </c>
      <c r="H91" s="22">
        <v>0</v>
      </c>
      <c r="I91" s="26">
        <v>1</v>
      </c>
      <c r="J91" s="22">
        <v>20</v>
      </c>
      <c r="K91" s="26">
        <v>13</v>
      </c>
      <c r="L91" s="27">
        <v>6.5</v>
      </c>
      <c r="M91" s="23" t="s">
        <v>51</v>
      </c>
      <c r="N91" s="28">
        <v>5</v>
      </c>
      <c r="O91" s="23">
        <v>100</v>
      </c>
      <c r="P91" s="23" t="s">
        <v>52</v>
      </c>
      <c r="Q91" s="22" t="s">
        <v>208</v>
      </c>
      <c r="R91" s="29">
        <f t="shared" si="15"/>
        <v>500</v>
      </c>
      <c r="S91" s="30">
        <v>14</v>
      </c>
      <c r="T91" s="31">
        <f t="shared" si="16"/>
        <v>7000</v>
      </c>
      <c r="U91" s="22">
        <v>70</v>
      </c>
      <c r="V91" s="26">
        <v>40</v>
      </c>
      <c r="W91" s="27">
        <v>80</v>
      </c>
      <c r="X91" s="32">
        <f t="shared" si="17"/>
        <v>0.224</v>
      </c>
      <c r="Y91" s="33">
        <f t="shared" si="18"/>
        <v>1.12</v>
      </c>
      <c r="Z91" s="23">
        <v>33</v>
      </c>
      <c r="AA91" s="34">
        <f t="shared" si="19"/>
        <v>165</v>
      </c>
    </row>
    <row r="92" ht="100" customHeight="1" spans="1:27">
      <c r="A92" s="21" t="s">
        <v>239</v>
      </c>
      <c r="B92" s="22" t="s">
        <v>240</v>
      </c>
      <c r="C92" s="23" t="s">
        <v>240</v>
      </c>
      <c r="D92" s="24"/>
      <c r="E92" s="25" t="s">
        <v>89</v>
      </c>
      <c r="F92" s="23" t="s">
        <v>70</v>
      </c>
      <c r="G92" s="23" t="s">
        <v>50</v>
      </c>
      <c r="H92" s="22">
        <v>1</v>
      </c>
      <c r="I92" s="26">
        <v>1</v>
      </c>
      <c r="J92" s="22">
        <v>19.5</v>
      </c>
      <c r="K92" s="26">
        <v>11</v>
      </c>
      <c r="L92" s="27">
        <v>2.5</v>
      </c>
      <c r="M92" s="23" t="s">
        <v>51</v>
      </c>
      <c r="N92" s="28">
        <v>5</v>
      </c>
      <c r="O92" s="23">
        <v>120</v>
      </c>
      <c r="P92" s="23" t="s">
        <v>52</v>
      </c>
      <c r="Q92" s="22" t="s">
        <v>208</v>
      </c>
      <c r="R92" s="29">
        <f t="shared" si="15"/>
        <v>600</v>
      </c>
      <c r="S92" s="30">
        <v>9.8</v>
      </c>
      <c r="T92" s="31">
        <f t="shared" si="16"/>
        <v>5880</v>
      </c>
      <c r="U92" s="22">
        <v>60</v>
      </c>
      <c r="V92" s="26">
        <v>59</v>
      </c>
      <c r="W92" s="27">
        <v>42</v>
      </c>
      <c r="X92" s="32">
        <f t="shared" si="17"/>
        <v>0.14868</v>
      </c>
      <c r="Y92" s="33">
        <f t="shared" si="18"/>
        <v>0.7434</v>
      </c>
      <c r="Z92" s="23">
        <v>27.1</v>
      </c>
      <c r="AA92" s="34">
        <f t="shared" si="19"/>
        <v>135.5</v>
      </c>
    </row>
    <row r="93" ht="100" customHeight="1" spans="1:27">
      <c r="A93" s="21" t="s">
        <v>241</v>
      </c>
      <c r="B93" s="22" t="s">
        <v>242</v>
      </c>
      <c r="C93" s="23" t="s">
        <v>242</v>
      </c>
      <c r="D93" s="24"/>
      <c r="E93" s="25" t="s">
        <v>49</v>
      </c>
      <c r="F93" s="23" t="s">
        <v>70</v>
      </c>
      <c r="G93" s="23" t="s">
        <v>50</v>
      </c>
      <c r="H93" s="22">
        <v>2</v>
      </c>
      <c r="I93" s="26">
        <v>1</v>
      </c>
      <c r="J93" s="22">
        <v>18</v>
      </c>
      <c r="K93" s="26">
        <v>11</v>
      </c>
      <c r="L93" s="27">
        <v>5</v>
      </c>
      <c r="M93" s="23" t="s">
        <v>51</v>
      </c>
      <c r="N93" s="28">
        <v>5</v>
      </c>
      <c r="O93" s="23">
        <v>120</v>
      </c>
      <c r="P93" s="23" t="s">
        <v>52</v>
      </c>
      <c r="Q93" s="22" t="s">
        <v>208</v>
      </c>
      <c r="R93" s="29">
        <f t="shared" si="15"/>
        <v>600</v>
      </c>
      <c r="S93" s="30">
        <v>12</v>
      </c>
      <c r="T93" s="31">
        <f t="shared" si="16"/>
        <v>7200</v>
      </c>
      <c r="U93" s="22">
        <v>76</v>
      </c>
      <c r="V93" s="26">
        <v>60</v>
      </c>
      <c r="W93" s="27">
        <v>39</v>
      </c>
      <c r="X93" s="32">
        <f t="shared" si="17"/>
        <v>0.17784</v>
      </c>
      <c r="Y93" s="33">
        <f t="shared" si="18"/>
        <v>0.8892</v>
      </c>
      <c r="Z93" s="23">
        <v>32.3</v>
      </c>
      <c r="AA93" s="34">
        <f t="shared" si="19"/>
        <v>161.5</v>
      </c>
    </row>
    <row r="94" ht="100" customHeight="1" spans="1:27">
      <c r="A94" s="21" t="s">
        <v>243</v>
      </c>
      <c r="B94" s="22" t="s">
        <v>244</v>
      </c>
      <c r="C94" s="23" t="s">
        <v>244</v>
      </c>
      <c r="D94" s="24"/>
      <c r="E94" s="25" t="s">
        <v>89</v>
      </c>
      <c r="F94" s="23" t="s">
        <v>70</v>
      </c>
      <c r="G94" s="23" t="s">
        <v>50</v>
      </c>
      <c r="H94" s="22">
        <v>2</v>
      </c>
      <c r="I94" s="26">
        <v>1</v>
      </c>
      <c r="J94" s="22">
        <v>11</v>
      </c>
      <c r="K94" s="26">
        <v>9</v>
      </c>
      <c r="L94" s="27">
        <v>4.5</v>
      </c>
      <c r="M94" s="23" t="s">
        <v>51</v>
      </c>
      <c r="N94" s="28">
        <v>3</v>
      </c>
      <c r="O94" s="23">
        <v>300</v>
      </c>
      <c r="P94" s="23" t="s">
        <v>52</v>
      </c>
      <c r="Q94" s="22" t="s">
        <v>208</v>
      </c>
      <c r="R94" s="29">
        <f t="shared" si="15"/>
        <v>900</v>
      </c>
      <c r="S94" s="30">
        <v>5.2</v>
      </c>
      <c r="T94" s="31">
        <f t="shared" si="16"/>
        <v>4680</v>
      </c>
      <c r="U94" s="22">
        <v>57</v>
      </c>
      <c r="V94" s="26">
        <v>68</v>
      </c>
      <c r="W94" s="27">
        <v>42</v>
      </c>
      <c r="X94" s="32">
        <f t="shared" si="17"/>
        <v>0.162792</v>
      </c>
      <c r="Y94" s="33">
        <f t="shared" si="18"/>
        <v>0.488376</v>
      </c>
      <c r="Z94" s="23">
        <v>24.2</v>
      </c>
      <c r="AA94" s="34">
        <f t="shared" si="19"/>
        <v>72.6</v>
      </c>
    </row>
    <row r="95" ht="100" customHeight="1" spans="1:27">
      <c r="A95" s="21" t="s">
        <v>245</v>
      </c>
      <c r="B95" s="22" t="s">
        <v>246</v>
      </c>
      <c r="C95" s="23" t="s">
        <v>246</v>
      </c>
      <c r="D95" s="24"/>
      <c r="E95" s="25" t="s">
        <v>89</v>
      </c>
      <c r="F95" s="23" t="s">
        <v>70</v>
      </c>
      <c r="G95" s="23" t="s">
        <v>82</v>
      </c>
      <c r="H95" s="22">
        <v>2</v>
      </c>
      <c r="I95" s="26">
        <v>1</v>
      </c>
      <c r="J95" s="22">
        <v>19</v>
      </c>
      <c r="K95" s="26">
        <v>10</v>
      </c>
      <c r="L95" s="27">
        <v>4.5</v>
      </c>
      <c r="M95" s="23" t="s">
        <v>51</v>
      </c>
      <c r="N95" s="28">
        <v>5</v>
      </c>
      <c r="O95" s="23">
        <v>120</v>
      </c>
      <c r="P95" s="23" t="s">
        <v>52</v>
      </c>
      <c r="Q95" s="22" t="s">
        <v>208</v>
      </c>
      <c r="R95" s="29">
        <f t="shared" si="15"/>
        <v>600</v>
      </c>
      <c r="S95" s="30">
        <v>8.3</v>
      </c>
      <c r="T95" s="31">
        <f t="shared" si="16"/>
        <v>4980</v>
      </c>
      <c r="U95" s="22">
        <v>50</v>
      </c>
      <c r="V95" s="26">
        <v>57</v>
      </c>
      <c r="W95" s="27">
        <v>50</v>
      </c>
      <c r="X95" s="32">
        <f t="shared" si="17"/>
        <v>0.1425</v>
      </c>
      <c r="Y95" s="33">
        <f t="shared" si="18"/>
        <v>0.7125</v>
      </c>
      <c r="Z95" s="23">
        <v>25.2</v>
      </c>
      <c r="AA95" s="34">
        <f t="shared" si="19"/>
        <v>126</v>
      </c>
    </row>
    <row r="96" ht="100" customHeight="1" spans="1:27">
      <c r="A96" s="21" t="s">
        <v>247</v>
      </c>
      <c r="B96" s="22" t="s">
        <v>248</v>
      </c>
      <c r="C96" s="23" t="s">
        <v>248</v>
      </c>
      <c r="D96" s="24"/>
      <c r="E96" s="25" t="s">
        <v>89</v>
      </c>
      <c r="F96" s="23" t="s">
        <v>50</v>
      </c>
      <c r="G96" s="23" t="s">
        <v>82</v>
      </c>
      <c r="H96" s="22">
        <v>2</v>
      </c>
      <c r="I96" s="26">
        <v>1</v>
      </c>
      <c r="J96" s="22">
        <v>19</v>
      </c>
      <c r="K96" s="26">
        <v>10</v>
      </c>
      <c r="L96" s="27">
        <v>4.5</v>
      </c>
      <c r="M96" s="23" t="s">
        <v>51</v>
      </c>
      <c r="N96" s="28">
        <v>5</v>
      </c>
      <c r="O96" s="23">
        <v>120</v>
      </c>
      <c r="P96" s="23" t="s">
        <v>52</v>
      </c>
      <c r="Q96" s="22" t="s">
        <v>208</v>
      </c>
      <c r="R96" s="29">
        <f t="shared" si="15"/>
        <v>600</v>
      </c>
      <c r="S96" s="30">
        <v>6.5</v>
      </c>
      <c r="T96" s="31">
        <f t="shared" si="16"/>
        <v>3900</v>
      </c>
      <c r="U96" s="22">
        <v>53</v>
      </c>
      <c r="V96" s="26">
        <v>59</v>
      </c>
      <c r="W96" s="27">
        <v>40</v>
      </c>
      <c r="X96" s="32">
        <f t="shared" si="17"/>
        <v>0.12508</v>
      </c>
      <c r="Y96" s="33">
        <f t="shared" si="18"/>
        <v>0.6254</v>
      </c>
      <c r="Z96" s="23">
        <v>21.2</v>
      </c>
      <c r="AA96" s="34">
        <f t="shared" si="19"/>
        <v>106</v>
      </c>
    </row>
    <row r="97" ht="100" customHeight="1" spans="1:27">
      <c r="A97" s="21" t="s">
        <v>249</v>
      </c>
      <c r="B97" s="22" t="s">
        <v>250</v>
      </c>
      <c r="C97" s="23" t="s">
        <v>250</v>
      </c>
      <c r="D97" s="24"/>
      <c r="E97" s="25" t="s">
        <v>89</v>
      </c>
      <c r="F97" s="23" t="s">
        <v>70</v>
      </c>
      <c r="G97" s="23" t="s">
        <v>50</v>
      </c>
      <c r="H97" s="22">
        <v>1</v>
      </c>
      <c r="I97" s="26">
        <v>0</v>
      </c>
      <c r="J97" s="22">
        <v>14</v>
      </c>
      <c r="K97" s="26">
        <v>8</v>
      </c>
      <c r="L97" s="27">
        <v>4</v>
      </c>
      <c r="M97" s="23" t="s">
        <v>51</v>
      </c>
      <c r="N97" s="28">
        <v>2</v>
      </c>
      <c r="O97" s="23">
        <v>300</v>
      </c>
      <c r="P97" s="23" t="s">
        <v>52</v>
      </c>
      <c r="Q97" s="22" t="s">
        <v>208</v>
      </c>
      <c r="R97" s="29">
        <f t="shared" si="15"/>
        <v>600</v>
      </c>
      <c r="S97" s="30">
        <v>8.5</v>
      </c>
      <c r="T97" s="31">
        <f t="shared" si="16"/>
        <v>5100</v>
      </c>
      <c r="U97" s="22">
        <v>49</v>
      </c>
      <c r="V97" s="26">
        <v>54</v>
      </c>
      <c r="W97" s="27">
        <v>76</v>
      </c>
      <c r="X97" s="32">
        <f t="shared" si="17"/>
        <v>0.201096</v>
      </c>
      <c r="Y97" s="33">
        <f t="shared" si="18"/>
        <v>0.402192</v>
      </c>
      <c r="Z97" s="23">
        <v>37.6</v>
      </c>
      <c r="AA97" s="34">
        <f t="shared" si="19"/>
        <v>75.2</v>
      </c>
    </row>
    <row r="98" ht="100" customHeight="1" spans="1:27">
      <c r="A98" s="21" t="s">
        <v>251</v>
      </c>
      <c r="B98" s="22" t="s">
        <v>252</v>
      </c>
      <c r="C98" s="23" t="s">
        <v>252</v>
      </c>
      <c r="D98" s="24"/>
      <c r="E98" s="39" t="s">
        <v>49</v>
      </c>
      <c r="F98" s="23" t="s">
        <v>70</v>
      </c>
      <c r="G98" s="23" t="s">
        <v>50</v>
      </c>
      <c r="H98" s="22">
        <v>0</v>
      </c>
      <c r="I98" s="26">
        <v>1</v>
      </c>
      <c r="J98" s="22">
        <v>22</v>
      </c>
      <c r="K98" s="26">
        <v>15</v>
      </c>
      <c r="L98" s="27">
        <v>7</v>
      </c>
      <c r="M98" s="23" t="s">
        <v>51</v>
      </c>
      <c r="N98" s="40">
        <v>5</v>
      </c>
      <c r="O98" s="41">
        <v>100</v>
      </c>
      <c r="P98" s="23" t="s">
        <v>52</v>
      </c>
      <c r="Q98" s="22" t="s">
        <v>208</v>
      </c>
      <c r="R98" s="29">
        <f t="shared" si="15"/>
        <v>500</v>
      </c>
      <c r="S98" s="42">
        <v>15</v>
      </c>
      <c r="T98" s="31">
        <f t="shared" si="16"/>
        <v>7500</v>
      </c>
      <c r="U98" s="22">
        <v>73</v>
      </c>
      <c r="V98" s="26">
        <v>44</v>
      </c>
      <c r="W98" s="27">
        <v>90</v>
      </c>
      <c r="X98" s="32">
        <f t="shared" si="17"/>
        <v>0.28908</v>
      </c>
      <c r="Y98" s="33">
        <f t="shared" si="18"/>
        <v>1.4454</v>
      </c>
      <c r="Z98" s="23">
        <v>37</v>
      </c>
      <c r="AA98" s="34">
        <f t="shared" si="19"/>
        <v>185</v>
      </c>
    </row>
    <row r="99" ht="100" customHeight="1" spans="1:27">
      <c r="A99" s="21" t="s">
        <v>253</v>
      </c>
      <c r="B99" s="22" t="s">
        <v>254</v>
      </c>
      <c r="C99" s="23" t="s">
        <v>254</v>
      </c>
      <c r="D99" s="24"/>
      <c r="E99" s="39" t="s">
        <v>49</v>
      </c>
      <c r="F99" s="23" t="s">
        <v>70</v>
      </c>
      <c r="G99" s="23" t="s">
        <v>50</v>
      </c>
      <c r="H99" s="22">
        <v>0</v>
      </c>
      <c r="I99" s="26">
        <v>1</v>
      </c>
      <c r="J99" s="22">
        <v>22</v>
      </c>
      <c r="K99" s="26">
        <v>15</v>
      </c>
      <c r="L99" s="27">
        <v>7</v>
      </c>
      <c r="M99" s="23" t="s">
        <v>51</v>
      </c>
      <c r="N99" s="40">
        <v>5</v>
      </c>
      <c r="O99" s="41">
        <v>100</v>
      </c>
      <c r="P99" s="23" t="s">
        <v>52</v>
      </c>
      <c r="Q99" s="22" t="s">
        <v>208</v>
      </c>
      <c r="R99" s="29">
        <f t="shared" si="15"/>
        <v>500</v>
      </c>
      <c r="S99" s="43">
        <v>15</v>
      </c>
      <c r="T99" s="31">
        <f t="shared" si="16"/>
        <v>7500</v>
      </c>
      <c r="U99" s="22">
        <v>73</v>
      </c>
      <c r="V99" s="26">
        <v>44</v>
      </c>
      <c r="W99" s="27">
        <v>86</v>
      </c>
      <c r="X99" s="32">
        <f t="shared" si="17"/>
        <v>0.276232</v>
      </c>
      <c r="Y99" s="33">
        <f t="shared" si="18"/>
        <v>1.38116</v>
      </c>
      <c r="Z99" s="23">
        <v>37</v>
      </c>
      <c r="AA99" s="34">
        <f t="shared" si="19"/>
        <v>185</v>
      </c>
    </row>
    <row r="100" ht="100" customHeight="1" spans="1:27">
      <c r="A100" s="21" t="s">
        <v>255</v>
      </c>
      <c r="B100" s="22" t="s">
        <v>256</v>
      </c>
      <c r="C100" s="23" t="s">
        <v>256</v>
      </c>
      <c r="D100" s="24"/>
      <c r="E100" s="39" t="s">
        <v>49</v>
      </c>
      <c r="F100" s="23" t="s">
        <v>70</v>
      </c>
      <c r="G100" s="23" t="s">
        <v>50</v>
      </c>
      <c r="H100" s="22">
        <v>2</v>
      </c>
      <c r="I100" s="26">
        <v>1</v>
      </c>
      <c r="J100" s="22">
        <v>18</v>
      </c>
      <c r="K100" s="26">
        <v>8</v>
      </c>
      <c r="L100" s="27">
        <v>12</v>
      </c>
      <c r="M100" s="23" t="s">
        <v>51</v>
      </c>
      <c r="N100" s="40">
        <v>5</v>
      </c>
      <c r="O100" s="41">
        <v>100</v>
      </c>
      <c r="P100" s="23" t="s">
        <v>52</v>
      </c>
      <c r="Q100" s="22" t="s">
        <v>208</v>
      </c>
      <c r="R100" s="29">
        <f t="shared" si="15"/>
        <v>500</v>
      </c>
      <c r="S100" s="42">
        <v>15</v>
      </c>
      <c r="T100" s="31">
        <f t="shared" si="16"/>
        <v>7500</v>
      </c>
      <c r="U100" s="22">
        <v>65</v>
      </c>
      <c r="V100" s="26">
        <v>45</v>
      </c>
      <c r="W100" s="27">
        <v>58</v>
      </c>
      <c r="X100" s="32">
        <f t="shared" si="17"/>
        <v>0.16965</v>
      </c>
      <c r="Y100" s="33">
        <f t="shared" si="18"/>
        <v>0.84825</v>
      </c>
      <c r="Z100" s="23">
        <v>25</v>
      </c>
      <c r="AA100" s="34">
        <f t="shared" si="19"/>
        <v>125</v>
      </c>
    </row>
    <row r="101" ht="100" customHeight="1" spans="1:27">
      <c r="A101" s="21" t="s">
        <v>257</v>
      </c>
      <c r="B101" s="22" t="s">
        <v>258</v>
      </c>
      <c r="C101" s="23" t="s">
        <v>258</v>
      </c>
      <c r="D101" s="24"/>
      <c r="E101" s="39" t="s">
        <v>49</v>
      </c>
      <c r="F101" s="23" t="s">
        <v>259</v>
      </c>
      <c r="G101" s="23" t="s">
        <v>50</v>
      </c>
      <c r="H101" s="22">
        <v>1</v>
      </c>
      <c r="I101" s="26">
        <v>1</v>
      </c>
      <c r="J101" s="22">
        <v>19.5</v>
      </c>
      <c r="K101" s="26">
        <v>13</v>
      </c>
      <c r="L101" s="27">
        <v>6</v>
      </c>
      <c r="M101" s="23" t="s">
        <v>51</v>
      </c>
      <c r="N101" s="40">
        <v>5</v>
      </c>
      <c r="O101" s="41">
        <v>100</v>
      </c>
      <c r="P101" s="23" t="s">
        <v>52</v>
      </c>
      <c r="Q101" s="22" t="s">
        <v>208</v>
      </c>
      <c r="R101" s="29">
        <f t="shared" si="15"/>
        <v>500</v>
      </c>
      <c r="S101" s="42">
        <v>15.5</v>
      </c>
      <c r="T101" s="31">
        <f t="shared" si="16"/>
        <v>7750</v>
      </c>
      <c r="U101" s="22">
        <v>70</v>
      </c>
      <c r="V101" s="26">
        <v>40</v>
      </c>
      <c r="W101" s="27">
        <v>80</v>
      </c>
      <c r="X101" s="32">
        <f t="shared" si="17"/>
        <v>0.224</v>
      </c>
      <c r="Y101" s="33">
        <f t="shared" si="18"/>
        <v>1.12</v>
      </c>
      <c r="Z101" s="23">
        <v>32</v>
      </c>
      <c r="AA101" s="34">
        <f t="shared" si="19"/>
        <v>160</v>
      </c>
    </row>
    <row r="102" ht="100" customHeight="1" spans="1:27">
      <c r="A102" s="21" t="s">
        <v>260</v>
      </c>
      <c r="B102" s="22" t="s">
        <v>261</v>
      </c>
      <c r="C102" s="23" t="s">
        <v>261</v>
      </c>
      <c r="D102" s="24"/>
      <c r="E102" s="39" t="s">
        <v>49</v>
      </c>
      <c r="F102" s="23" t="s">
        <v>70</v>
      </c>
      <c r="G102" s="23" t="s">
        <v>50</v>
      </c>
      <c r="H102" s="22">
        <v>1</v>
      </c>
      <c r="I102" s="26">
        <v>0</v>
      </c>
      <c r="J102" s="22">
        <v>20</v>
      </c>
      <c r="K102" s="26">
        <v>12</v>
      </c>
      <c r="L102" s="27">
        <v>7</v>
      </c>
      <c r="M102" s="23" t="s">
        <v>51</v>
      </c>
      <c r="N102" s="40">
        <v>5</v>
      </c>
      <c r="O102" s="41">
        <v>96</v>
      </c>
      <c r="P102" s="23" t="s">
        <v>52</v>
      </c>
      <c r="Q102" s="22" t="s">
        <v>208</v>
      </c>
      <c r="R102" s="29">
        <f t="shared" si="15"/>
        <v>480</v>
      </c>
      <c r="S102" s="42">
        <v>18.5</v>
      </c>
      <c r="T102" s="31">
        <f t="shared" si="16"/>
        <v>8880</v>
      </c>
      <c r="U102" s="22">
        <v>81</v>
      </c>
      <c r="V102" s="26">
        <v>42</v>
      </c>
      <c r="W102" s="27">
        <v>58</v>
      </c>
      <c r="X102" s="32">
        <f t="shared" si="17"/>
        <v>0.197316</v>
      </c>
      <c r="Y102" s="33">
        <f t="shared" si="18"/>
        <v>0.98658</v>
      </c>
      <c r="Z102" s="23">
        <v>41</v>
      </c>
      <c r="AA102" s="34">
        <f t="shared" si="19"/>
        <v>205</v>
      </c>
    </row>
    <row r="103" ht="100" customHeight="1" spans="1:27">
      <c r="A103" s="21" t="s">
        <v>262</v>
      </c>
      <c r="B103" s="22" t="s">
        <v>263</v>
      </c>
      <c r="C103" s="23" t="s">
        <v>263</v>
      </c>
      <c r="D103" s="24"/>
      <c r="E103" s="39" t="s">
        <v>49</v>
      </c>
      <c r="F103" s="23" t="s">
        <v>70</v>
      </c>
      <c r="G103" s="23" t="s">
        <v>82</v>
      </c>
      <c r="H103" s="22">
        <v>1</v>
      </c>
      <c r="I103" s="26">
        <v>1</v>
      </c>
      <c r="J103" s="22">
        <v>19</v>
      </c>
      <c r="K103" s="26">
        <v>10</v>
      </c>
      <c r="L103" s="27">
        <v>6.5</v>
      </c>
      <c r="M103" s="23" t="s">
        <v>51</v>
      </c>
      <c r="N103" s="40">
        <v>5</v>
      </c>
      <c r="O103" s="41">
        <v>100</v>
      </c>
      <c r="P103" s="23" t="s">
        <v>52</v>
      </c>
      <c r="Q103" s="22" t="s">
        <v>208</v>
      </c>
      <c r="R103" s="29">
        <f t="shared" si="15"/>
        <v>500</v>
      </c>
      <c r="S103" s="42">
        <v>19.5</v>
      </c>
      <c r="T103" s="31">
        <f t="shared" si="16"/>
        <v>9750</v>
      </c>
      <c r="U103" s="22">
        <v>58</v>
      </c>
      <c r="V103" s="26">
        <v>34</v>
      </c>
      <c r="W103" s="27">
        <v>79</v>
      </c>
      <c r="X103" s="32">
        <f t="shared" si="17"/>
        <v>0.155788</v>
      </c>
      <c r="Y103" s="33">
        <f t="shared" si="18"/>
        <v>0.77894</v>
      </c>
      <c r="Z103" s="23">
        <v>35</v>
      </c>
      <c r="AA103" s="34">
        <f t="shared" si="19"/>
        <v>175</v>
      </c>
    </row>
    <row r="104" ht="100" customHeight="1" spans="1:27">
      <c r="A104" s="21" t="s">
        <v>264</v>
      </c>
      <c r="B104" s="22" t="s">
        <v>265</v>
      </c>
      <c r="C104" s="23" t="s">
        <v>265</v>
      </c>
      <c r="D104" s="24"/>
      <c r="E104" s="44" t="s">
        <v>89</v>
      </c>
      <c r="F104" s="23" t="s">
        <v>70</v>
      </c>
      <c r="G104" s="23" t="s">
        <v>82</v>
      </c>
      <c r="H104" s="22">
        <v>1</v>
      </c>
      <c r="I104" s="26">
        <v>0</v>
      </c>
      <c r="J104" s="22">
        <v>19</v>
      </c>
      <c r="K104" s="26">
        <v>9.5</v>
      </c>
      <c r="L104" s="27">
        <v>2.5</v>
      </c>
      <c r="M104" s="23" t="s">
        <v>51</v>
      </c>
      <c r="N104" s="40">
        <v>2</v>
      </c>
      <c r="O104" s="45">
        <v>300</v>
      </c>
      <c r="P104" s="23" t="s">
        <v>52</v>
      </c>
      <c r="Q104" s="22" t="s">
        <v>208</v>
      </c>
      <c r="R104" s="29">
        <f t="shared" si="15"/>
        <v>600</v>
      </c>
      <c r="S104" s="46">
        <v>9.5</v>
      </c>
      <c r="T104" s="31">
        <f t="shared" si="16"/>
        <v>5700</v>
      </c>
      <c r="U104" s="22">
        <v>58</v>
      </c>
      <c r="V104" s="26">
        <v>57</v>
      </c>
      <c r="W104" s="27">
        <v>70</v>
      </c>
      <c r="X104" s="32">
        <f t="shared" si="17"/>
        <v>0.23142</v>
      </c>
      <c r="Y104" s="33">
        <f t="shared" si="18"/>
        <v>0.46284</v>
      </c>
      <c r="Z104" s="23">
        <v>53.7</v>
      </c>
      <c r="AA104" s="34">
        <f t="shared" si="19"/>
        <v>107.4</v>
      </c>
    </row>
    <row r="105" ht="100" customHeight="1" spans="1:27">
      <c r="A105" s="21" t="s">
        <v>266</v>
      </c>
      <c r="B105" s="22" t="s">
        <v>267</v>
      </c>
      <c r="C105" s="23" t="s">
        <v>267</v>
      </c>
      <c r="D105" s="24"/>
      <c r="E105" s="44" t="s">
        <v>89</v>
      </c>
      <c r="F105" s="23" t="s">
        <v>70</v>
      </c>
      <c r="G105" s="23" t="s">
        <v>82</v>
      </c>
      <c r="H105" s="22">
        <v>1</v>
      </c>
      <c r="I105" s="26">
        <v>0</v>
      </c>
      <c r="J105" s="22">
        <v>11.5</v>
      </c>
      <c r="K105" s="26">
        <v>9.5</v>
      </c>
      <c r="L105" s="27">
        <v>3.5</v>
      </c>
      <c r="M105" s="23" t="s">
        <v>51</v>
      </c>
      <c r="N105" s="40">
        <v>2</v>
      </c>
      <c r="O105" s="45">
        <v>300</v>
      </c>
      <c r="P105" s="23" t="s">
        <v>52</v>
      </c>
      <c r="Q105" s="22" t="s">
        <v>208</v>
      </c>
      <c r="R105" s="29">
        <f t="shared" si="15"/>
        <v>600</v>
      </c>
      <c r="S105" s="46">
        <v>8</v>
      </c>
      <c r="T105" s="31">
        <f t="shared" si="16"/>
        <v>4800</v>
      </c>
      <c r="U105" s="22">
        <v>55</v>
      </c>
      <c r="V105" s="26">
        <v>45</v>
      </c>
      <c r="W105" s="27">
        <v>60</v>
      </c>
      <c r="X105" s="32">
        <f t="shared" si="17"/>
        <v>0.1485</v>
      </c>
      <c r="Y105" s="33">
        <f t="shared" si="18"/>
        <v>0.297</v>
      </c>
      <c r="Z105" s="23">
        <v>39.4</v>
      </c>
      <c r="AA105" s="34">
        <f t="shared" si="19"/>
        <v>78.8</v>
      </c>
    </row>
    <row r="106" ht="100" customHeight="1" spans="1:27">
      <c r="A106" s="21" t="s">
        <v>268</v>
      </c>
      <c r="B106" s="22" t="s">
        <v>269</v>
      </c>
      <c r="C106" s="23" t="s">
        <v>269</v>
      </c>
      <c r="D106" s="24"/>
      <c r="E106" s="44" t="s">
        <v>89</v>
      </c>
      <c r="F106" s="23" t="s">
        <v>70</v>
      </c>
      <c r="G106" s="23" t="s">
        <v>82</v>
      </c>
      <c r="H106" s="22">
        <v>2</v>
      </c>
      <c r="I106" s="26">
        <v>0</v>
      </c>
      <c r="J106" s="22">
        <v>19.5</v>
      </c>
      <c r="K106" s="26">
        <v>10</v>
      </c>
      <c r="L106" s="27">
        <v>3.5</v>
      </c>
      <c r="M106" s="23" t="s">
        <v>51</v>
      </c>
      <c r="N106" s="40">
        <v>5</v>
      </c>
      <c r="O106" s="41">
        <v>120</v>
      </c>
      <c r="P106" s="23" t="s">
        <v>52</v>
      </c>
      <c r="Q106" s="22" t="s">
        <v>208</v>
      </c>
      <c r="R106" s="29">
        <f t="shared" si="15"/>
        <v>600</v>
      </c>
      <c r="S106" s="42">
        <v>9.5</v>
      </c>
      <c r="T106" s="31">
        <f t="shared" si="16"/>
        <v>5700</v>
      </c>
      <c r="U106" s="22">
        <v>46</v>
      </c>
      <c r="V106" s="26">
        <v>54</v>
      </c>
      <c r="W106" s="27">
        <v>41</v>
      </c>
      <c r="X106" s="32">
        <f t="shared" si="17"/>
        <v>0.101844</v>
      </c>
      <c r="Y106" s="33">
        <f t="shared" si="18"/>
        <v>0.50922</v>
      </c>
      <c r="Z106" s="23">
        <v>20</v>
      </c>
      <c r="AA106" s="34">
        <f t="shared" si="19"/>
        <v>100</v>
      </c>
    </row>
    <row r="107" ht="100" customHeight="1" spans="1:27">
      <c r="A107" s="21" t="s">
        <v>270</v>
      </c>
      <c r="B107" s="22" t="s">
        <v>271</v>
      </c>
      <c r="C107" s="23" t="s">
        <v>271</v>
      </c>
      <c r="D107" s="24"/>
      <c r="E107" s="44" t="s">
        <v>89</v>
      </c>
      <c r="F107" s="23" t="s">
        <v>70</v>
      </c>
      <c r="G107" s="23" t="s">
        <v>82</v>
      </c>
      <c r="H107" s="22">
        <v>1</v>
      </c>
      <c r="I107" s="26">
        <v>0</v>
      </c>
      <c r="J107" s="22">
        <v>15</v>
      </c>
      <c r="K107" s="26">
        <v>9</v>
      </c>
      <c r="L107" s="27">
        <v>2.5</v>
      </c>
      <c r="M107" s="23" t="s">
        <v>51</v>
      </c>
      <c r="N107" s="40">
        <v>5</v>
      </c>
      <c r="O107" s="41">
        <v>120</v>
      </c>
      <c r="P107" s="23" t="s">
        <v>52</v>
      </c>
      <c r="Q107" s="22" t="s">
        <v>208</v>
      </c>
      <c r="R107" s="29">
        <f t="shared" si="15"/>
        <v>600</v>
      </c>
      <c r="S107" s="42">
        <v>8.5</v>
      </c>
      <c r="T107" s="31">
        <f t="shared" si="16"/>
        <v>5100</v>
      </c>
      <c r="U107" s="22">
        <v>36</v>
      </c>
      <c r="V107" s="26">
        <v>42</v>
      </c>
      <c r="W107" s="27">
        <v>32</v>
      </c>
      <c r="X107" s="32">
        <f t="shared" si="17"/>
        <v>0.048384</v>
      </c>
      <c r="Y107" s="33">
        <f t="shared" si="18"/>
        <v>0.24192</v>
      </c>
      <c r="Z107" s="23">
        <v>25.5</v>
      </c>
      <c r="AA107" s="34">
        <f t="shared" si="19"/>
        <v>127.5</v>
      </c>
    </row>
    <row r="108" ht="100" customHeight="1" spans="1:27">
      <c r="A108" s="21" t="s">
        <v>272</v>
      </c>
      <c r="B108" s="22" t="s">
        <v>273</v>
      </c>
      <c r="C108" s="23" t="s">
        <v>273</v>
      </c>
      <c r="D108" s="24"/>
      <c r="E108" s="44" t="s">
        <v>89</v>
      </c>
      <c r="F108" s="23" t="s">
        <v>70</v>
      </c>
      <c r="G108" s="23" t="s">
        <v>82</v>
      </c>
      <c r="H108" s="22">
        <v>1</v>
      </c>
      <c r="I108" s="26">
        <v>0</v>
      </c>
      <c r="J108" s="22">
        <v>11</v>
      </c>
      <c r="K108" s="26">
        <v>9</v>
      </c>
      <c r="L108" s="27">
        <v>3.5</v>
      </c>
      <c r="M108" s="23" t="s">
        <v>51</v>
      </c>
      <c r="N108" s="40">
        <v>2</v>
      </c>
      <c r="O108" s="45">
        <v>360</v>
      </c>
      <c r="P108" s="23" t="s">
        <v>52</v>
      </c>
      <c r="Q108" s="22" t="s">
        <v>208</v>
      </c>
      <c r="R108" s="29">
        <f t="shared" si="15"/>
        <v>720</v>
      </c>
      <c r="S108" s="46">
        <v>8.5</v>
      </c>
      <c r="T108" s="31">
        <f t="shared" si="16"/>
        <v>6120</v>
      </c>
      <c r="U108" s="22">
        <v>56</v>
      </c>
      <c r="V108" s="26">
        <v>45</v>
      </c>
      <c r="W108" s="27">
        <v>75</v>
      </c>
      <c r="X108" s="32">
        <f t="shared" si="17"/>
        <v>0.189</v>
      </c>
      <c r="Y108" s="33">
        <f t="shared" si="18"/>
        <v>0.378</v>
      </c>
      <c r="Z108" s="23">
        <v>49</v>
      </c>
      <c r="AA108" s="34">
        <f t="shared" si="19"/>
        <v>98</v>
      </c>
    </row>
    <row r="109" ht="100" customHeight="1" spans="1:27">
      <c r="A109" s="21" t="s">
        <v>274</v>
      </c>
      <c r="B109" s="22" t="s">
        <v>275</v>
      </c>
      <c r="C109" s="23" t="s">
        <v>275</v>
      </c>
      <c r="D109" s="24"/>
      <c r="E109" s="44" t="s">
        <v>89</v>
      </c>
      <c r="F109" s="23" t="s">
        <v>70</v>
      </c>
      <c r="G109" s="23" t="s">
        <v>82</v>
      </c>
      <c r="H109" s="22">
        <v>2</v>
      </c>
      <c r="I109" s="26">
        <v>1</v>
      </c>
      <c r="J109" s="22">
        <v>19</v>
      </c>
      <c r="K109" s="26">
        <v>10</v>
      </c>
      <c r="L109" s="27">
        <v>4</v>
      </c>
      <c r="M109" s="23" t="s">
        <v>51</v>
      </c>
      <c r="N109" s="40">
        <v>4</v>
      </c>
      <c r="O109" s="41">
        <v>180</v>
      </c>
      <c r="P109" s="23" t="s">
        <v>52</v>
      </c>
      <c r="Q109" s="22" t="s">
        <v>208</v>
      </c>
      <c r="R109" s="29">
        <f t="shared" si="15"/>
        <v>720</v>
      </c>
      <c r="S109" s="42">
        <v>5.8</v>
      </c>
      <c r="T109" s="31">
        <f t="shared" si="16"/>
        <v>4176</v>
      </c>
      <c r="U109" s="22">
        <v>68</v>
      </c>
      <c r="V109" s="26">
        <v>53</v>
      </c>
      <c r="W109" s="27">
        <v>53</v>
      </c>
      <c r="X109" s="32">
        <f t="shared" si="17"/>
        <v>0.191012</v>
      </c>
      <c r="Y109" s="33">
        <f t="shared" si="18"/>
        <v>0.764048</v>
      </c>
      <c r="Z109" s="23">
        <v>24.9</v>
      </c>
      <c r="AA109" s="34">
        <f t="shared" si="19"/>
        <v>99.6</v>
      </c>
    </row>
    <row r="110" ht="100" customHeight="1" spans="1:27">
      <c r="A110" s="21" t="s">
        <v>276</v>
      </c>
      <c r="B110" s="22" t="s">
        <v>277</v>
      </c>
      <c r="C110" s="23" t="s">
        <v>277</v>
      </c>
      <c r="D110" s="24"/>
      <c r="E110" s="44" t="s">
        <v>89</v>
      </c>
      <c r="F110" s="23" t="s">
        <v>70</v>
      </c>
      <c r="G110" s="23" t="s">
        <v>82</v>
      </c>
      <c r="H110" s="22">
        <v>2</v>
      </c>
      <c r="I110" s="26">
        <v>1</v>
      </c>
      <c r="J110" s="22">
        <v>19</v>
      </c>
      <c r="K110" s="26">
        <v>10</v>
      </c>
      <c r="L110" s="27">
        <v>4</v>
      </c>
      <c r="M110" s="23" t="s">
        <v>51</v>
      </c>
      <c r="N110" s="40">
        <v>3</v>
      </c>
      <c r="O110" s="41">
        <v>180</v>
      </c>
      <c r="P110" s="23" t="s">
        <v>52</v>
      </c>
      <c r="Q110" s="22" t="s">
        <v>208</v>
      </c>
      <c r="R110" s="29">
        <f t="shared" si="15"/>
        <v>540</v>
      </c>
      <c r="S110" s="42">
        <v>5.8</v>
      </c>
      <c r="T110" s="31">
        <f t="shared" si="16"/>
        <v>3132</v>
      </c>
      <c r="U110" s="22">
        <v>68</v>
      </c>
      <c r="V110" s="26">
        <v>53</v>
      </c>
      <c r="W110" s="27">
        <v>53</v>
      </c>
      <c r="X110" s="32">
        <f t="shared" si="17"/>
        <v>0.191012</v>
      </c>
      <c r="Y110" s="33">
        <f t="shared" si="18"/>
        <v>0.573036</v>
      </c>
      <c r="Z110" s="23">
        <v>24.9</v>
      </c>
      <c r="AA110" s="34">
        <f t="shared" si="19"/>
        <v>74.7</v>
      </c>
    </row>
    <row r="111" ht="100" customHeight="1" spans="1:27">
      <c r="A111" s="21" t="s">
        <v>278</v>
      </c>
      <c r="B111" s="22" t="s">
        <v>279</v>
      </c>
      <c r="C111" s="23" t="s">
        <v>279</v>
      </c>
      <c r="D111" s="24"/>
      <c r="E111" s="44" t="s">
        <v>89</v>
      </c>
      <c r="F111" s="23" t="s">
        <v>70</v>
      </c>
      <c r="G111" s="23" t="s">
        <v>82</v>
      </c>
      <c r="H111" s="22">
        <v>2</v>
      </c>
      <c r="I111" s="26">
        <v>1</v>
      </c>
      <c r="J111" s="22">
        <v>19</v>
      </c>
      <c r="K111" s="26">
        <v>9.5</v>
      </c>
      <c r="L111" s="27">
        <v>4</v>
      </c>
      <c r="M111" s="23" t="s">
        <v>51</v>
      </c>
      <c r="N111" s="40">
        <v>4</v>
      </c>
      <c r="O111" s="41">
        <v>180</v>
      </c>
      <c r="P111" s="23" t="s">
        <v>52</v>
      </c>
      <c r="Q111" s="22" t="s">
        <v>208</v>
      </c>
      <c r="R111" s="29">
        <f t="shared" si="15"/>
        <v>720</v>
      </c>
      <c r="S111" s="42">
        <v>5.8</v>
      </c>
      <c r="T111" s="31">
        <f t="shared" si="16"/>
        <v>4176</v>
      </c>
      <c r="U111" s="22">
        <v>68</v>
      </c>
      <c r="V111" s="26">
        <v>53</v>
      </c>
      <c r="W111" s="27">
        <v>53</v>
      </c>
      <c r="X111" s="32">
        <f t="shared" si="17"/>
        <v>0.191012</v>
      </c>
      <c r="Y111" s="33">
        <f t="shared" si="18"/>
        <v>0.764048</v>
      </c>
      <c r="Z111" s="23">
        <v>24.9</v>
      </c>
      <c r="AA111" s="34">
        <f t="shared" si="19"/>
        <v>99.6</v>
      </c>
    </row>
    <row r="112" ht="100" customHeight="1" spans="1:27">
      <c r="A112" s="21" t="s">
        <v>280</v>
      </c>
      <c r="B112" s="22" t="s">
        <v>281</v>
      </c>
      <c r="C112" s="23" t="s">
        <v>281</v>
      </c>
      <c r="D112" s="24"/>
      <c r="E112" s="44" t="s">
        <v>89</v>
      </c>
      <c r="F112" s="23" t="s">
        <v>70</v>
      </c>
      <c r="G112" s="23" t="s">
        <v>82</v>
      </c>
      <c r="H112" s="22">
        <v>2</v>
      </c>
      <c r="I112" s="26">
        <v>1</v>
      </c>
      <c r="J112" s="22">
        <v>16</v>
      </c>
      <c r="K112" s="26">
        <v>9.5</v>
      </c>
      <c r="L112" s="27">
        <v>4.5</v>
      </c>
      <c r="M112" s="23" t="s">
        <v>51</v>
      </c>
      <c r="N112" s="40">
        <v>3</v>
      </c>
      <c r="O112" s="45">
        <v>300</v>
      </c>
      <c r="P112" s="23" t="s">
        <v>52</v>
      </c>
      <c r="Q112" s="22" t="s">
        <v>208</v>
      </c>
      <c r="R112" s="29">
        <f t="shared" si="15"/>
        <v>900</v>
      </c>
      <c r="S112" s="46">
        <v>5.4</v>
      </c>
      <c r="T112" s="31">
        <f t="shared" si="16"/>
        <v>4860</v>
      </c>
      <c r="U112" s="22">
        <v>90</v>
      </c>
      <c r="V112" s="26">
        <v>57</v>
      </c>
      <c r="W112" s="27">
        <v>54</v>
      </c>
      <c r="X112" s="32">
        <f t="shared" si="17"/>
        <v>0.27702</v>
      </c>
      <c r="Y112" s="33">
        <f t="shared" si="18"/>
        <v>0.83106</v>
      </c>
      <c r="Z112" s="23">
        <v>37</v>
      </c>
      <c r="AA112" s="34">
        <f t="shared" si="19"/>
        <v>111</v>
      </c>
    </row>
    <row r="113" ht="100" customHeight="1" spans="1:27">
      <c r="A113" s="21" t="s">
        <v>282</v>
      </c>
      <c r="B113" s="22" t="s">
        <v>283</v>
      </c>
      <c r="C113" s="23" t="s">
        <v>283</v>
      </c>
      <c r="D113" s="24"/>
      <c r="E113" s="44" t="s">
        <v>89</v>
      </c>
      <c r="F113" s="23" t="s">
        <v>70</v>
      </c>
      <c r="G113" s="23" t="s">
        <v>82</v>
      </c>
      <c r="H113" s="22">
        <v>2</v>
      </c>
      <c r="I113" s="26">
        <v>1</v>
      </c>
      <c r="J113" s="22">
        <v>11</v>
      </c>
      <c r="K113" s="26">
        <v>8.5</v>
      </c>
      <c r="L113" s="27">
        <v>4</v>
      </c>
      <c r="M113" s="23" t="s">
        <v>51</v>
      </c>
      <c r="N113" s="40">
        <v>3</v>
      </c>
      <c r="O113" s="45">
        <v>300</v>
      </c>
      <c r="P113" s="23" t="s">
        <v>52</v>
      </c>
      <c r="Q113" s="22" t="s">
        <v>208</v>
      </c>
      <c r="R113" s="29">
        <f t="shared" si="15"/>
        <v>900</v>
      </c>
      <c r="S113" s="46">
        <v>4.8</v>
      </c>
      <c r="T113" s="31">
        <f t="shared" si="16"/>
        <v>4320</v>
      </c>
      <c r="U113" s="22">
        <v>70</v>
      </c>
      <c r="V113" s="26">
        <v>60</v>
      </c>
      <c r="W113" s="27">
        <v>40</v>
      </c>
      <c r="X113" s="32">
        <f t="shared" si="17"/>
        <v>0.168</v>
      </c>
      <c r="Y113" s="33">
        <f t="shared" si="18"/>
        <v>0.504</v>
      </c>
      <c r="Z113" s="23">
        <v>25.8</v>
      </c>
      <c r="AA113" s="34">
        <f t="shared" si="19"/>
        <v>77.4</v>
      </c>
    </row>
    <row r="114" ht="100" customHeight="1" spans="1:27">
      <c r="A114" s="21" t="s">
        <v>284</v>
      </c>
      <c r="B114" s="22" t="s">
        <v>285</v>
      </c>
      <c r="C114" s="23" t="s">
        <v>285</v>
      </c>
      <c r="D114" s="24"/>
      <c r="E114" s="44" t="s">
        <v>89</v>
      </c>
      <c r="F114" s="23" t="s">
        <v>70</v>
      </c>
      <c r="G114" s="23" t="s">
        <v>82</v>
      </c>
      <c r="H114" s="22">
        <v>1</v>
      </c>
      <c r="I114" s="26">
        <v>1</v>
      </c>
      <c r="J114" s="22">
        <v>11</v>
      </c>
      <c r="K114" s="26">
        <v>9</v>
      </c>
      <c r="L114" s="27">
        <v>2.5</v>
      </c>
      <c r="M114" s="23" t="s">
        <v>51</v>
      </c>
      <c r="N114" s="40">
        <v>4</v>
      </c>
      <c r="O114" s="41">
        <v>300</v>
      </c>
      <c r="P114" s="23" t="s">
        <v>52</v>
      </c>
      <c r="Q114" s="22" t="s">
        <v>208</v>
      </c>
      <c r="R114" s="29">
        <f t="shared" si="15"/>
        <v>1200</v>
      </c>
      <c r="S114" s="42">
        <v>2.9</v>
      </c>
      <c r="T114" s="31">
        <f t="shared" si="16"/>
        <v>3480</v>
      </c>
      <c r="U114" s="22">
        <v>50</v>
      </c>
      <c r="V114" s="26">
        <v>59</v>
      </c>
      <c r="W114" s="27">
        <v>37</v>
      </c>
      <c r="X114" s="32">
        <f t="shared" si="17"/>
        <v>0.10915</v>
      </c>
      <c r="Y114" s="33">
        <f t="shared" si="18"/>
        <v>0.4366</v>
      </c>
      <c r="Z114" s="23">
        <v>17</v>
      </c>
      <c r="AA114" s="34">
        <f t="shared" si="19"/>
        <v>68</v>
      </c>
    </row>
    <row r="115" ht="100" customHeight="1" spans="1:27">
      <c r="A115" s="21" t="s">
        <v>286</v>
      </c>
      <c r="B115" s="22" t="s">
        <v>287</v>
      </c>
      <c r="C115" s="23" t="s">
        <v>287</v>
      </c>
      <c r="D115" s="24"/>
      <c r="E115" s="44" t="s">
        <v>89</v>
      </c>
      <c r="F115" s="23" t="s">
        <v>70</v>
      </c>
      <c r="G115" s="23" t="s">
        <v>82</v>
      </c>
      <c r="H115" s="22">
        <v>1</v>
      </c>
      <c r="I115" s="26">
        <v>1</v>
      </c>
      <c r="J115" s="22">
        <v>11</v>
      </c>
      <c r="K115" s="26">
        <v>9</v>
      </c>
      <c r="L115" s="27">
        <v>2.5</v>
      </c>
      <c r="M115" s="23" t="s">
        <v>51</v>
      </c>
      <c r="N115" s="40">
        <v>4</v>
      </c>
      <c r="O115" s="41">
        <v>300</v>
      </c>
      <c r="P115" s="23" t="s">
        <v>52</v>
      </c>
      <c r="Q115" s="22" t="s">
        <v>208</v>
      </c>
      <c r="R115" s="29">
        <f t="shared" si="15"/>
        <v>1200</v>
      </c>
      <c r="S115" s="42">
        <v>2.9</v>
      </c>
      <c r="T115" s="31">
        <f t="shared" si="16"/>
        <v>3480</v>
      </c>
      <c r="U115" s="22">
        <v>50</v>
      </c>
      <c r="V115" s="26">
        <v>59</v>
      </c>
      <c r="W115" s="27">
        <v>37</v>
      </c>
      <c r="X115" s="32">
        <f t="shared" si="17"/>
        <v>0.10915</v>
      </c>
      <c r="Y115" s="33">
        <f t="shared" si="18"/>
        <v>0.4366</v>
      </c>
      <c r="Z115" s="23">
        <v>16</v>
      </c>
      <c r="AA115" s="34">
        <f t="shared" si="19"/>
        <v>64</v>
      </c>
    </row>
    <row r="116" ht="100" customHeight="1" spans="1:27">
      <c r="A116" s="21" t="s">
        <v>288</v>
      </c>
      <c r="B116" s="22" t="s">
        <v>289</v>
      </c>
      <c r="C116" s="23" t="s">
        <v>289</v>
      </c>
      <c r="D116" s="24"/>
      <c r="E116" s="44" t="s">
        <v>290</v>
      </c>
      <c r="F116" s="23" t="s">
        <v>70</v>
      </c>
      <c r="G116" s="23" t="s">
        <v>82</v>
      </c>
      <c r="H116" s="22">
        <v>2</v>
      </c>
      <c r="I116" s="26">
        <v>1</v>
      </c>
      <c r="J116" s="22">
        <v>20</v>
      </c>
      <c r="K116" s="26">
        <v>10</v>
      </c>
      <c r="L116" s="27">
        <v>5</v>
      </c>
      <c r="M116" s="23" t="s">
        <v>51</v>
      </c>
      <c r="N116" s="40">
        <v>5</v>
      </c>
      <c r="O116" s="41">
        <v>120</v>
      </c>
      <c r="P116" s="23" t="s">
        <v>52</v>
      </c>
      <c r="Q116" s="22" t="s">
        <v>208</v>
      </c>
      <c r="R116" s="29">
        <f t="shared" si="15"/>
        <v>600</v>
      </c>
      <c r="S116" s="42">
        <v>14.5</v>
      </c>
      <c r="T116" s="31">
        <f t="shared" si="16"/>
        <v>8700</v>
      </c>
      <c r="U116" s="22">
        <v>62</v>
      </c>
      <c r="V116" s="26">
        <v>67</v>
      </c>
      <c r="W116" s="27">
        <v>54</v>
      </c>
      <c r="X116" s="32">
        <f t="shared" si="17"/>
        <v>0.224316</v>
      </c>
      <c r="Y116" s="33">
        <f t="shared" si="18"/>
        <v>1.12158</v>
      </c>
      <c r="Z116" s="23">
        <v>40.8</v>
      </c>
      <c r="AA116" s="34">
        <f t="shared" si="19"/>
        <v>204</v>
      </c>
    </row>
    <row r="117" ht="100" customHeight="1" spans="1:27">
      <c r="A117" s="21" t="s">
        <v>291</v>
      </c>
      <c r="B117" s="22" t="s">
        <v>292</v>
      </c>
      <c r="C117" s="23" t="s">
        <v>292</v>
      </c>
      <c r="D117" s="24"/>
      <c r="E117" s="39" t="s">
        <v>73</v>
      </c>
      <c r="F117" s="23" t="s">
        <v>50</v>
      </c>
      <c r="G117" s="23" t="s">
        <v>50</v>
      </c>
      <c r="H117" s="22">
        <v>3</v>
      </c>
      <c r="I117" s="26">
        <v>0</v>
      </c>
      <c r="J117" s="22">
        <v>10</v>
      </c>
      <c r="K117" s="26">
        <v>7.5</v>
      </c>
      <c r="L117" s="27">
        <v>4</v>
      </c>
      <c r="M117" s="23" t="s">
        <v>51</v>
      </c>
      <c r="N117" s="40">
        <v>2</v>
      </c>
      <c r="O117" s="41">
        <v>600</v>
      </c>
      <c r="P117" s="23" t="s">
        <v>52</v>
      </c>
      <c r="Q117" s="22" t="s">
        <v>208</v>
      </c>
      <c r="R117" s="29">
        <f t="shared" si="15"/>
        <v>1200</v>
      </c>
      <c r="S117" s="42">
        <v>4.8</v>
      </c>
      <c r="T117" s="31">
        <f t="shared" si="16"/>
        <v>5760</v>
      </c>
      <c r="U117" s="22">
        <v>61</v>
      </c>
      <c r="V117" s="26">
        <v>52</v>
      </c>
      <c r="W117" s="27">
        <v>45</v>
      </c>
      <c r="X117" s="32">
        <f t="shared" si="17"/>
        <v>0.14274</v>
      </c>
      <c r="Y117" s="33">
        <f t="shared" si="18"/>
        <v>0.28548</v>
      </c>
      <c r="Z117" s="23">
        <v>35</v>
      </c>
      <c r="AA117" s="34">
        <f t="shared" si="19"/>
        <v>70</v>
      </c>
    </row>
    <row r="118" ht="100" customHeight="1" spans="1:27">
      <c r="A118" s="21" t="s">
        <v>293</v>
      </c>
      <c r="B118" s="22" t="s">
        <v>294</v>
      </c>
      <c r="C118" s="23" t="s">
        <v>294</v>
      </c>
      <c r="D118" s="24"/>
      <c r="E118" s="39" t="s">
        <v>89</v>
      </c>
      <c r="F118" s="23" t="s">
        <v>50</v>
      </c>
      <c r="G118" s="23" t="s">
        <v>106</v>
      </c>
      <c r="H118" s="22">
        <v>1</v>
      </c>
      <c r="I118" s="26">
        <v>1</v>
      </c>
      <c r="J118" s="22">
        <v>19</v>
      </c>
      <c r="K118" s="26">
        <v>10</v>
      </c>
      <c r="L118" s="27">
        <v>2.5</v>
      </c>
      <c r="M118" s="23" t="s">
        <v>51</v>
      </c>
      <c r="N118" s="40">
        <v>1</v>
      </c>
      <c r="O118" s="41">
        <v>300</v>
      </c>
      <c r="P118" s="23" t="s">
        <v>52</v>
      </c>
      <c r="Q118" s="22" t="s">
        <v>208</v>
      </c>
      <c r="R118" s="29">
        <f t="shared" si="15"/>
        <v>300</v>
      </c>
      <c r="S118" s="42">
        <v>4.9</v>
      </c>
      <c r="T118" s="31">
        <f t="shared" si="16"/>
        <v>1470</v>
      </c>
      <c r="U118" s="22">
        <v>60</v>
      </c>
      <c r="V118" s="26">
        <v>67</v>
      </c>
      <c r="W118" s="27">
        <v>53</v>
      </c>
      <c r="X118" s="32">
        <f t="shared" si="17"/>
        <v>0.21306</v>
      </c>
      <c r="Y118" s="33">
        <f t="shared" si="18"/>
        <v>0.21306</v>
      </c>
      <c r="Z118" s="23">
        <v>34.8</v>
      </c>
      <c r="AA118" s="34">
        <f t="shared" si="19"/>
        <v>34.8</v>
      </c>
    </row>
    <row r="119" ht="100" customHeight="1" spans="1:27">
      <c r="A119" s="21" t="s">
        <v>295</v>
      </c>
      <c r="B119" s="22" t="s">
        <v>296</v>
      </c>
      <c r="C119" s="23" t="s">
        <v>296</v>
      </c>
      <c r="D119" s="24"/>
      <c r="E119" s="39" t="s">
        <v>89</v>
      </c>
      <c r="F119" s="23" t="s">
        <v>50</v>
      </c>
      <c r="G119" s="23" t="s">
        <v>106</v>
      </c>
      <c r="H119" s="22">
        <v>2</v>
      </c>
      <c r="I119" s="26">
        <v>1</v>
      </c>
      <c r="J119" s="22">
        <v>11</v>
      </c>
      <c r="K119" s="26">
        <v>8</v>
      </c>
      <c r="L119" s="27">
        <v>4</v>
      </c>
      <c r="M119" s="23" t="s">
        <v>51</v>
      </c>
      <c r="N119" s="40">
        <v>2</v>
      </c>
      <c r="O119" s="41">
        <v>300</v>
      </c>
      <c r="P119" s="23" t="s">
        <v>52</v>
      </c>
      <c r="Q119" s="22" t="s">
        <v>208</v>
      </c>
      <c r="R119" s="29">
        <f t="shared" si="15"/>
        <v>600</v>
      </c>
      <c r="S119" s="42">
        <v>4.8</v>
      </c>
      <c r="T119" s="31">
        <f t="shared" si="16"/>
        <v>2880</v>
      </c>
      <c r="U119" s="22">
        <v>57</v>
      </c>
      <c r="V119" s="26">
        <v>68</v>
      </c>
      <c r="W119" s="27">
        <v>41</v>
      </c>
      <c r="X119" s="32">
        <f t="shared" si="17"/>
        <v>0.158916</v>
      </c>
      <c r="Y119" s="33">
        <f t="shared" si="18"/>
        <v>0.317832</v>
      </c>
      <c r="Z119" s="23">
        <v>32</v>
      </c>
      <c r="AA119" s="34">
        <f t="shared" si="19"/>
        <v>64</v>
      </c>
    </row>
    <row r="120" ht="100" customHeight="1" spans="1:27">
      <c r="A120" s="21" t="s">
        <v>297</v>
      </c>
      <c r="B120" s="22" t="s">
        <v>298</v>
      </c>
      <c r="C120" s="23" t="s">
        <v>298</v>
      </c>
      <c r="D120" s="24"/>
      <c r="E120" s="44" t="s">
        <v>73</v>
      </c>
      <c r="F120" s="23" t="s">
        <v>50</v>
      </c>
      <c r="G120" s="23" t="s">
        <v>50</v>
      </c>
      <c r="H120" s="22">
        <v>3</v>
      </c>
      <c r="I120" s="26">
        <v>0</v>
      </c>
      <c r="J120" s="22">
        <v>10</v>
      </c>
      <c r="K120" s="26">
        <v>8</v>
      </c>
      <c r="L120" s="27">
        <v>3</v>
      </c>
      <c r="M120" s="23" t="s">
        <v>51</v>
      </c>
      <c r="N120" s="40">
        <v>1</v>
      </c>
      <c r="O120" s="41">
        <v>600</v>
      </c>
      <c r="P120" s="23" t="s">
        <v>52</v>
      </c>
      <c r="Q120" s="22" t="s">
        <v>208</v>
      </c>
      <c r="R120" s="29">
        <f t="shared" si="15"/>
        <v>600</v>
      </c>
      <c r="S120" s="42">
        <v>6</v>
      </c>
      <c r="T120" s="31">
        <f t="shared" si="16"/>
        <v>3600</v>
      </c>
      <c r="U120" s="22">
        <v>61</v>
      </c>
      <c r="V120" s="26">
        <v>52</v>
      </c>
      <c r="W120" s="27">
        <v>45</v>
      </c>
      <c r="X120" s="32">
        <f t="shared" si="17"/>
        <v>0.14274</v>
      </c>
      <c r="Y120" s="33">
        <f t="shared" si="18"/>
        <v>0.14274</v>
      </c>
      <c r="Z120" s="23">
        <v>46</v>
      </c>
      <c r="AA120" s="34">
        <f t="shared" si="19"/>
        <v>46</v>
      </c>
    </row>
    <row r="121" ht="100" customHeight="1" spans="1:27">
      <c r="A121" s="21" t="s">
        <v>299</v>
      </c>
      <c r="B121" s="22" t="s">
        <v>300</v>
      </c>
      <c r="C121" s="23" t="s">
        <v>300</v>
      </c>
      <c r="D121" s="24"/>
      <c r="E121" s="39" t="s">
        <v>73</v>
      </c>
      <c r="F121" s="23" t="s">
        <v>50</v>
      </c>
      <c r="G121" s="23" t="s">
        <v>50</v>
      </c>
      <c r="H121" s="22">
        <v>3</v>
      </c>
      <c r="I121" s="26">
        <v>0</v>
      </c>
      <c r="J121" s="22">
        <v>17</v>
      </c>
      <c r="K121" s="26">
        <v>10</v>
      </c>
      <c r="L121" s="27">
        <v>4</v>
      </c>
      <c r="M121" s="23" t="s">
        <v>51</v>
      </c>
      <c r="N121" s="40">
        <v>4</v>
      </c>
      <c r="O121" s="41">
        <v>300</v>
      </c>
      <c r="P121" s="23" t="s">
        <v>52</v>
      </c>
      <c r="Q121" s="22" t="s">
        <v>208</v>
      </c>
      <c r="R121" s="29">
        <f t="shared" si="15"/>
        <v>1200</v>
      </c>
      <c r="S121" s="42">
        <v>6.4</v>
      </c>
      <c r="T121" s="31">
        <f t="shared" si="16"/>
        <v>7680</v>
      </c>
      <c r="U121" s="22">
        <v>61</v>
      </c>
      <c r="V121" s="26">
        <v>52</v>
      </c>
      <c r="W121" s="27">
        <v>45</v>
      </c>
      <c r="X121" s="32">
        <f t="shared" si="17"/>
        <v>0.14274</v>
      </c>
      <c r="Y121" s="33">
        <f t="shared" si="18"/>
        <v>0.57096</v>
      </c>
      <c r="Z121" s="23">
        <v>35.6</v>
      </c>
      <c r="AA121" s="34">
        <f t="shared" si="19"/>
        <v>142.4</v>
      </c>
    </row>
    <row r="122" ht="100" customHeight="1" spans="1:27">
      <c r="A122" s="21" t="s">
        <v>301</v>
      </c>
      <c r="B122" s="22" t="s">
        <v>302</v>
      </c>
      <c r="C122" s="23" t="s">
        <v>302</v>
      </c>
      <c r="D122" s="24"/>
      <c r="E122" s="39" t="s">
        <v>89</v>
      </c>
      <c r="F122" s="23" t="s">
        <v>50</v>
      </c>
      <c r="G122" s="23" t="s">
        <v>106</v>
      </c>
      <c r="H122" s="22">
        <v>2</v>
      </c>
      <c r="I122" s="26">
        <v>1</v>
      </c>
      <c r="J122" s="22">
        <v>19</v>
      </c>
      <c r="K122" s="26">
        <v>10</v>
      </c>
      <c r="L122" s="27">
        <v>4</v>
      </c>
      <c r="M122" s="23" t="s">
        <v>51</v>
      </c>
      <c r="N122" s="40">
        <v>4</v>
      </c>
      <c r="O122" s="41">
        <v>180</v>
      </c>
      <c r="P122" s="23" t="s">
        <v>52</v>
      </c>
      <c r="Q122" s="22" t="s">
        <v>208</v>
      </c>
      <c r="R122" s="29">
        <f t="shared" si="15"/>
        <v>720</v>
      </c>
      <c r="S122" s="42">
        <v>6.8</v>
      </c>
      <c r="T122" s="31">
        <f t="shared" si="16"/>
        <v>4896</v>
      </c>
      <c r="U122" s="22">
        <v>62</v>
      </c>
      <c r="V122" s="26">
        <v>68</v>
      </c>
      <c r="W122" s="27">
        <v>50</v>
      </c>
      <c r="X122" s="32">
        <f t="shared" si="17"/>
        <v>0.2108</v>
      </c>
      <c r="Y122" s="33">
        <f t="shared" si="18"/>
        <v>0.8432</v>
      </c>
      <c r="Z122" s="23">
        <v>34.5</v>
      </c>
      <c r="AA122" s="34">
        <f t="shared" si="19"/>
        <v>138</v>
      </c>
    </row>
    <row r="123" ht="100" customHeight="1" spans="1:27">
      <c r="A123" s="21" t="s">
        <v>303</v>
      </c>
      <c r="B123" s="22" t="s">
        <v>304</v>
      </c>
      <c r="C123" s="23" t="s">
        <v>304</v>
      </c>
      <c r="D123" s="24"/>
      <c r="E123" s="39" t="s">
        <v>49</v>
      </c>
      <c r="F123" s="23" t="s">
        <v>70</v>
      </c>
      <c r="G123" s="23" t="s">
        <v>50</v>
      </c>
      <c r="H123" s="22">
        <v>0</v>
      </c>
      <c r="I123" s="26">
        <v>0</v>
      </c>
      <c r="J123" s="22">
        <v>22</v>
      </c>
      <c r="K123" s="26">
        <v>15</v>
      </c>
      <c r="L123" s="27">
        <v>8</v>
      </c>
      <c r="M123" s="23" t="s">
        <v>51</v>
      </c>
      <c r="N123" s="40">
        <v>5</v>
      </c>
      <c r="O123" s="41">
        <v>120</v>
      </c>
      <c r="P123" s="23" t="s">
        <v>52</v>
      </c>
      <c r="Q123" s="22" t="s">
        <v>208</v>
      </c>
      <c r="R123" s="29">
        <f t="shared" si="15"/>
        <v>600</v>
      </c>
      <c r="S123" s="42">
        <v>15.5</v>
      </c>
      <c r="T123" s="31">
        <f t="shared" si="16"/>
        <v>9300</v>
      </c>
      <c r="U123" s="22">
        <v>76</v>
      </c>
      <c r="V123" s="26">
        <v>41</v>
      </c>
      <c r="W123" s="27">
        <v>88</v>
      </c>
      <c r="X123" s="32">
        <f t="shared" si="17"/>
        <v>0.274208</v>
      </c>
      <c r="Y123" s="33">
        <f t="shared" si="18"/>
        <v>1.37104</v>
      </c>
      <c r="Z123" s="23">
        <v>44</v>
      </c>
      <c r="AA123" s="34">
        <f t="shared" si="19"/>
        <v>220</v>
      </c>
    </row>
    <row r="124" ht="100" customHeight="1" spans="1:27">
      <c r="A124" s="21" t="s">
        <v>305</v>
      </c>
      <c r="B124" s="22" t="s">
        <v>306</v>
      </c>
      <c r="C124" s="23" t="s">
        <v>306</v>
      </c>
      <c r="D124" s="24"/>
      <c r="E124" s="25" t="s">
        <v>60</v>
      </c>
      <c r="F124" s="23" t="s">
        <v>70</v>
      </c>
      <c r="G124" s="23" t="s">
        <v>50</v>
      </c>
      <c r="H124" s="22">
        <v>1</v>
      </c>
      <c r="I124" s="26">
        <v>0</v>
      </c>
      <c r="J124" s="22">
        <v>22</v>
      </c>
      <c r="K124" s="26">
        <v>15</v>
      </c>
      <c r="L124" s="27">
        <v>7</v>
      </c>
      <c r="M124" s="23" t="s">
        <v>51</v>
      </c>
      <c r="N124" s="28">
        <v>3</v>
      </c>
      <c r="O124" s="23">
        <v>300</v>
      </c>
      <c r="P124" s="23" t="s">
        <v>52</v>
      </c>
      <c r="Q124" s="22" t="s">
        <v>63</v>
      </c>
      <c r="R124" s="29">
        <f t="shared" si="15"/>
        <v>900</v>
      </c>
      <c r="S124" s="30">
        <v>5.6</v>
      </c>
      <c r="T124" s="31">
        <f t="shared" si="16"/>
        <v>5040</v>
      </c>
      <c r="U124" s="22">
        <v>50</v>
      </c>
      <c r="V124" s="26">
        <v>40</v>
      </c>
      <c r="W124" s="27">
        <v>55</v>
      </c>
      <c r="X124" s="32">
        <f t="shared" si="17"/>
        <v>0.11</v>
      </c>
      <c r="Y124" s="33">
        <f t="shared" si="18"/>
        <v>0.33</v>
      </c>
      <c r="Z124" s="23">
        <v>22.3</v>
      </c>
      <c r="AA124" s="34">
        <f t="shared" si="19"/>
        <v>66.9</v>
      </c>
    </row>
    <row r="125" ht="100" customHeight="1" spans="1:27">
      <c r="A125" s="21" t="s">
        <v>307</v>
      </c>
      <c r="B125" s="22" t="s">
        <v>308</v>
      </c>
      <c r="C125" s="23" t="s">
        <v>308</v>
      </c>
      <c r="D125" s="24"/>
      <c r="E125" s="25" t="s">
        <v>60</v>
      </c>
      <c r="F125" s="23" t="s">
        <v>61</v>
      </c>
      <c r="G125" s="23" t="s">
        <v>62</v>
      </c>
      <c r="H125" s="22">
        <v>1</v>
      </c>
      <c r="I125" s="26">
        <v>0</v>
      </c>
      <c r="J125" s="22">
        <v>22</v>
      </c>
      <c r="K125" s="26">
        <v>13</v>
      </c>
      <c r="L125" s="27">
        <v>7</v>
      </c>
      <c r="M125" s="23" t="s">
        <v>51</v>
      </c>
      <c r="N125" s="28">
        <v>3</v>
      </c>
      <c r="O125" s="23">
        <v>300</v>
      </c>
      <c r="P125" s="23" t="s">
        <v>52</v>
      </c>
      <c r="Q125" s="22" t="s">
        <v>63</v>
      </c>
      <c r="R125" s="29">
        <f t="shared" si="15"/>
        <v>900</v>
      </c>
      <c r="S125" s="30">
        <v>5.2</v>
      </c>
      <c r="T125" s="31">
        <f t="shared" si="16"/>
        <v>4680</v>
      </c>
      <c r="U125" s="22">
        <v>50</v>
      </c>
      <c r="V125" s="26">
        <v>40</v>
      </c>
      <c r="W125" s="27">
        <v>35</v>
      </c>
      <c r="X125" s="32">
        <f t="shared" si="17"/>
        <v>0.07</v>
      </c>
      <c r="Y125" s="33">
        <f t="shared" si="18"/>
        <v>0.21</v>
      </c>
      <c r="Z125" s="23">
        <v>18.2</v>
      </c>
      <c r="AA125" s="34">
        <f t="shared" si="19"/>
        <v>54.6</v>
      </c>
    </row>
    <row r="126" ht="100" customHeight="1" spans="1:27">
      <c r="A126" s="21" t="s">
        <v>309</v>
      </c>
      <c r="B126" s="22" t="s">
        <v>310</v>
      </c>
      <c r="C126" s="23" t="s">
        <v>310</v>
      </c>
      <c r="D126" s="24"/>
      <c r="E126" s="25" t="s">
        <v>60</v>
      </c>
      <c r="F126" s="23" t="s">
        <v>61</v>
      </c>
      <c r="G126" s="23" t="s">
        <v>62</v>
      </c>
      <c r="H126" s="22">
        <v>1</v>
      </c>
      <c r="I126" s="26">
        <v>0</v>
      </c>
      <c r="J126" s="22">
        <v>24</v>
      </c>
      <c r="K126" s="26">
        <v>17</v>
      </c>
      <c r="L126" s="27">
        <v>10</v>
      </c>
      <c r="M126" s="23" t="s">
        <v>51</v>
      </c>
      <c r="N126" s="28">
        <v>3</v>
      </c>
      <c r="O126" s="23">
        <v>300</v>
      </c>
      <c r="P126" s="23" t="s">
        <v>52</v>
      </c>
      <c r="Q126" s="22" t="s">
        <v>63</v>
      </c>
      <c r="R126" s="29">
        <f t="shared" si="15"/>
        <v>900</v>
      </c>
      <c r="S126" s="30">
        <v>7.3</v>
      </c>
      <c r="T126" s="31">
        <f t="shared" si="16"/>
        <v>6570</v>
      </c>
      <c r="U126" s="22">
        <v>45</v>
      </c>
      <c r="V126" s="26">
        <v>40</v>
      </c>
      <c r="W126" s="27">
        <v>55</v>
      </c>
      <c r="X126" s="32">
        <f t="shared" si="17"/>
        <v>0.099</v>
      </c>
      <c r="Y126" s="33">
        <f t="shared" si="18"/>
        <v>0.297</v>
      </c>
      <c r="Z126" s="23">
        <v>38.5</v>
      </c>
      <c r="AA126" s="34">
        <f t="shared" si="19"/>
        <v>115.5</v>
      </c>
    </row>
    <row r="127" ht="100" customHeight="1" spans="1:27">
      <c r="A127" s="21" t="s">
        <v>311</v>
      </c>
      <c r="B127" s="22" t="s">
        <v>312</v>
      </c>
      <c r="C127" s="23" t="s">
        <v>312</v>
      </c>
      <c r="D127" s="24"/>
      <c r="E127" s="25" t="s">
        <v>60</v>
      </c>
      <c r="F127" s="23" t="s">
        <v>50</v>
      </c>
      <c r="G127" s="23" t="s">
        <v>50</v>
      </c>
      <c r="H127" s="22">
        <v>1</v>
      </c>
      <c r="I127" s="26">
        <v>0</v>
      </c>
      <c r="J127" s="22">
        <v>29</v>
      </c>
      <c r="K127" s="26">
        <v>20</v>
      </c>
      <c r="L127" s="27">
        <v>10</v>
      </c>
      <c r="M127" s="23" t="s">
        <v>51</v>
      </c>
      <c r="N127" s="28">
        <v>3</v>
      </c>
      <c r="O127" s="23">
        <v>300</v>
      </c>
      <c r="P127" s="23" t="s">
        <v>52</v>
      </c>
      <c r="Q127" s="22" t="s">
        <v>63</v>
      </c>
      <c r="R127" s="29">
        <f t="shared" si="15"/>
        <v>900</v>
      </c>
      <c r="S127" s="30">
        <v>7.8</v>
      </c>
      <c r="T127" s="31">
        <f t="shared" si="16"/>
        <v>7020</v>
      </c>
      <c r="U127" s="22">
        <v>67</v>
      </c>
      <c r="V127" s="26">
        <v>55</v>
      </c>
      <c r="W127" s="27">
        <v>68</v>
      </c>
      <c r="X127" s="32">
        <f t="shared" si="17"/>
        <v>0.25058</v>
      </c>
      <c r="Y127" s="33">
        <f t="shared" si="18"/>
        <v>0.75174</v>
      </c>
      <c r="Z127" s="23">
        <v>48.6</v>
      </c>
      <c r="AA127" s="34">
        <f t="shared" si="19"/>
        <v>145.8</v>
      </c>
    </row>
    <row r="128" ht="100" customHeight="1" spans="1:27">
      <c r="A128" s="21" t="s">
        <v>313</v>
      </c>
      <c r="B128" s="22" t="s">
        <v>314</v>
      </c>
      <c r="C128" s="23" t="s">
        <v>314</v>
      </c>
      <c r="D128" s="24"/>
      <c r="E128" s="25" t="s">
        <v>49</v>
      </c>
      <c r="F128" s="23" t="s">
        <v>70</v>
      </c>
      <c r="G128" s="23" t="s">
        <v>50</v>
      </c>
      <c r="H128" s="22">
        <v>3</v>
      </c>
      <c r="I128" s="26">
        <v>0</v>
      </c>
      <c r="J128" s="22">
        <v>23</v>
      </c>
      <c r="K128" s="26">
        <v>17</v>
      </c>
      <c r="L128" s="27">
        <v>6</v>
      </c>
      <c r="M128" s="23" t="s">
        <v>51</v>
      </c>
      <c r="N128" s="28">
        <v>5</v>
      </c>
      <c r="O128" s="23">
        <v>120</v>
      </c>
      <c r="P128" s="23" t="s">
        <v>52</v>
      </c>
      <c r="Q128" s="22" t="s">
        <v>63</v>
      </c>
      <c r="R128" s="29">
        <f t="shared" si="15"/>
        <v>600</v>
      </c>
      <c r="S128" s="30">
        <v>12</v>
      </c>
      <c r="T128" s="31">
        <f t="shared" si="16"/>
        <v>7200</v>
      </c>
      <c r="U128" s="22">
        <v>55</v>
      </c>
      <c r="V128" s="26">
        <v>50</v>
      </c>
      <c r="W128" s="27">
        <v>55</v>
      </c>
      <c r="X128" s="32">
        <f t="shared" si="17"/>
        <v>0.15125</v>
      </c>
      <c r="Y128" s="33">
        <f t="shared" si="18"/>
        <v>0.75625</v>
      </c>
      <c r="Z128" s="23">
        <v>30</v>
      </c>
      <c r="AA128" s="34">
        <f t="shared" si="19"/>
        <v>150</v>
      </c>
    </row>
    <row r="129" ht="100" customHeight="1" spans="1:27">
      <c r="A129" s="21" t="s">
        <v>315</v>
      </c>
      <c r="B129" s="22" t="s">
        <v>316</v>
      </c>
      <c r="C129" s="23" t="s">
        <v>316</v>
      </c>
      <c r="D129" s="24"/>
      <c r="E129" s="25" t="s">
        <v>49</v>
      </c>
      <c r="F129" s="23" t="s">
        <v>70</v>
      </c>
      <c r="G129" s="23" t="s">
        <v>50</v>
      </c>
      <c r="H129" s="22">
        <v>3</v>
      </c>
      <c r="I129" s="26">
        <v>0</v>
      </c>
      <c r="J129" s="22">
        <v>20</v>
      </c>
      <c r="K129" s="26">
        <v>13</v>
      </c>
      <c r="L129" s="27">
        <v>7.5</v>
      </c>
      <c r="M129" s="23" t="s">
        <v>51</v>
      </c>
      <c r="N129" s="28">
        <v>5</v>
      </c>
      <c r="O129" s="23">
        <v>120</v>
      </c>
      <c r="P129" s="23" t="s">
        <v>52</v>
      </c>
      <c r="Q129" s="22" t="s">
        <v>63</v>
      </c>
      <c r="R129" s="29">
        <f t="shared" si="15"/>
        <v>600</v>
      </c>
      <c r="S129" s="30">
        <v>14.5</v>
      </c>
      <c r="T129" s="31">
        <f t="shared" si="16"/>
        <v>8700</v>
      </c>
      <c r="U129" s="22">
        <v>56</v>
      </c>
      <c r="V129" s="26">
        <v>81</v>
      </c>
      <c r="W129" s="27">
        <v>68</v>
      </c>
      <c r="X129" s="32">
        <f t="shared" si="17"/>
        <v>0.308448</v>
      </c>
      <c r="Y129" s="33">
        <f t="shared" si="18"/>
        <v>1.54224</v>
      </c>
      <c r="Z129" s="23">
        <v>50.35</v>
      </c>
      <c r="AA129" s="34">
        <f t="shared" si="19"/>
        <v>251.75</v>
      </c>
    </row>
    <row r="130" ht="100" customHeight="1" spans="1:27">
      <c r="A130" s="21" t="s">
        <v>317</v>
      </c>
      <c r="B130" s="22" t="s">
        <v>318</v>
      </c>
      <c r="C130" s="23" t="s">
        <v>318</v>
      </c>
      <c r="D130" s="24"/>
      <c r="E130" s="25" t="s">
        <v>49</v>
      </c>
      <c r="F130" s="23" t="s">
        <v>70</v>
      </c>
      <c r="G130" s="23" t="s">
        <v>50</v>
      </c>
      <c r="H130" s="22">
        <v>2</v>
      </c>
      <c r="I130" s="26">
        <v>0</v>
      </c>
      <c r="J130" s="22">
        <v>21</v>
      </c>
      <c r="K130" s="26">
        <v>14</v>
      </c>
      <c r="L130" s="27">
        <v>6.5</v>
      </c>
      <c r="M130" s="23" t="s">
        <v>51</v>
      </c>
      <c r="N130" s="28">
        <v>4</v>
      </c>
      <c r="O130" s="23">
        <v>120</v>
      </c>
      <c r="P130" s="23" t="s">
        <v>52</v>
      </c>
      <c r="Q130" s="22" t="s">
        <v>63</v>
      </c>
      <c r="R130" s="29">
        <f t="shared" si="15"/>
        <v>480</v>
      </c>
      <c r="S130" s="30">
        <v>15.5</v>
      </c>
      <c r="T130" s="31">
        <f t="shared" si="16"/>
        <v>7440</v>
      </c>
      <c r="U130" s="22">
        <v>45</v>
      </c>
      <c r="V130" s="26">
        <v>50</v>
      </c>
      <c r="W130" s="27">
        <v>75</v>
      </c>
      <c r="X130" s="32">
        <f t="shared" si="17"/>
        <v>0.16875</v>
      </c>
      <c r="Y130" s="33">
        <f t="shared" si="18"/>
        <v>0.675</v>
      </c>
      <c r="Z130" s="23">
        <v>37</v>
      </c>
      <c r="AA130" s="34">
        <f t="shared" si="19"/>
        <v>148</v>
      </c>
    </row>
    <row r="131" ht="100" customHeight="1" spans="1:27">
      <c r="A131" s="21" t="s">
        <v>319</v>
      </c>
      <c r="B131" s="22" t="s">
        <v>320</v>
      </c>
      <c r="C131" s="23" t="s">
        <v>320</v>
      </c>
      <c r="D131" s="24"/>
      <c r="E131" s="25" t="s">
        <v>49</v>
      </c>
      <c r="F131" s="23" t="s">
        <v>70</v>
      </c>
      <c r="G131" s="23" t="s">
        <v>50</v>
      </c>
      <c r="H131" s="22">
        <v>2</v>
      </c>
      <c r="I131" s="26">
        <v>0</v>
      </c>
      <c r="J131" s="22">
        <v>21</v>
      </c>
      <c r="K131" s="26">
        <v>15</v>
      </c>
      <c r="L131" s="27">
        <v>6</v>
      </c>
      <c r="M131" s="23" t="s">
        <v>51</v>
      </c>
      <c r="N131" s="28">
        <v>5</v>
      </c>
      <c r="O131" s="23">
        <v>120</v>
      </c>
      <c r="P131" s="23" t="s">
        <v>52</v>
      </c>
      <c r="Q131" s="22" t="s">
        <v>63</v>
      </c>
      <c r="R131" s="29">
        <f t="shared" si="15"/>
        <v>600</v>
      </c>
      <c r="S131" s="30">
        <v>11</v>
      </c>
      <c r="T131" s="31">
        <f t="shared" si="16"/>
        <v>6600</v>
      </c>
      <c r="U131" s="22">
        <v>45</v>
      </c>
      <c r="V131" s="26">
        <v>55</v>
      </c>
      <c r="W131" s="27">
        <v>55</v>
      </c>
      <c r="X131" s="32">
        <f t="shared" si="17"/>
        <v>0.136125</v>
      </c>
      <c r="Y131" s="33">
        <f t="shared" si="18"/>
        <v>0.680625</v>
      </c>
      <c r="Z131" s="23">
        <v>29.2</v>
      </c>
      <c r="AA131" s="34">
        <f t="shared" si="19"/>
        <v>146</v>
      </c>
    </row>
    <row r="132" ht="100" customHeight="1" spans="1:27">
      <c r="A132" s="21" t="s">
        <v>321</v>
      </c>
      <c r="B132" s="22" t="s">
        <v>322</v>
      </c>
      <c r="C132" s="23" t="s">
        <v>322</v>
      </c>
      <c r="D132" s="24"/>
      <c r="E132" s="25" t="s">
        <v>49</v>
      </c>
      <c r="F132" s="23" t="s">
        <v>70</v>
      </c>
      <c r="G132" s="23" t="s">
        <v>50</v>
      </c>
      <c r="H132" s="22">
        <v>2</v>
      </c>
      <c r="I132" s="26">
        <v>0</v>
      </c>
      <c r="J132" s="22">
        <v>22</v>
      </c>
      <c r="K132" s="26">
        <v>13</v>
      </c>
      <c r="L132" s="27">
        <v>6</v>
      </c>
      <c r="M132" s="23" t="s">
        <v>51</v>
      </c>
      <c r="N132" s="28">
        <v>5</v>
      </c>
      <c r="O132" s="23">
        <v>120</v>
      </c>
      <c r="P132" s="23" t="s">
        <v>52</v>
      </c>
      <c r="Q132" s="22" t="s">
        <v>63</v>
      </c>
      <c r="R132" s="29">
        <f t="shared" si="15"/>
        <v>600</v>
      </c>
      <c r="S132" s="30">
        <v>12.5</v>
      </c>
      <c r="T132" s="31">
        <f t="shared" si="16"/>
        <v>7500</v>
      </c>
      <c r="U132" s="22">
        <v>40</v>
      </c>
      <c r="V132" s="26">
        <v>50</v>
      </c>
      <c r="W132" s="27">
        <v>65</v>
      </c>
      <c r="X132" s="32">
        <f t="shared" si="17"/>
        <v>0.13</v>
      </c>
      <c r="Y132" s="33">
        <f t="shared" si="18"/>
        <v>0.65</v>
      </c>
      <c r="Z132" s="23">
        <v>31</v>
      </c>
      <c r="AA132" s="34">
        <f t="shared" si="19"/>
        <v>155</v>
      </c>
    </row>
    <row r="133" ht="100" customHeight="1" spans="1:27">
      <c r="A133" s="21" t="s">
        <v>323</v>
      </c>
      <c r="B133" s="22" t="s">
        <v>324</v>
      </c>
      <c r="C133" s="23" t="s">
        <v>324</v>
      </c>
      <c r="D133" s="24"/>
      <c r="E133" s="25" t="s">
        <v>49</v>
      </c>
      <c r="F133" s="23" t="s">
        <v>70</v>
      </c>
      <c r="G133" s="23" t="s">
        <v>50</v>
      </c>
      <c r="H133" s="22">
        <v>2</v>
      </c>
      <c r="I133" s="26">
        <v>0</v>
      </c>
      <c r="J133" s="22">
        <v>17</v>
      </c>
      <c r="K133" s="26">
        <v>15</v>
      </c>
      <c r="L133" s="27">
        <v>6</v>
      </c>
      <c r="M133" s="23" t="s">
        <v>51</v>
      </c>
      <c r="N133" s="28">
        <v>5</v>
      </c>
      <c r="O133" s="23">
        <v>120</v>
      </c>
      <c r="P133" s="23" t="s">
        <v>52</v>
      </c>
      <c r="Q133" s="22" t="s">
        <v>63</v>
      </c>
      <c r="R133" s="29">
        <f t="shared" si="15"/>
        <v>600</v>
      </c>
      <c r="S133" s="30">
        <v>10.2</v>
      </c>
      <c r="T133" s="31">
        <f t="shared" si="16"/>
        <v>6120</v>
      </c>
      <c r="U133" s="22">
        <v>48</v>
      </c>
      <c r="V133" s="26">
        <v>40</v>
      </c>
      <c r="W133" s="27">
        <v>68</v>
      </c>
      <c r="X133" s="32">
        <f t="shared" si="17"/>
        <v>0.13056</v>
      </c>
      <c r="Y133" s="33">
        <f t="shared" si="18"/>
        <v>0.6528</v>
      </c>
      <c r="Z133" s="23">
        <v>27</v>
      </c>
      <c r="AA133" s="34">
        <f t="shared" si="19"/>
        <v>135</v>
      </c>
    </row>
    <row r="134" ht="100" customHeight="1" spans="1:27">
      <c r="A134" s="21" t="s">
        <v>325</v>
      </c>
      <c r="B134" s="22" t="s">
        <v>326</v>
      </c>
      <c r="C134" s="23" t="s">
        <v>326</v>
      </c>
      <c r="D134" s="24"/>
      <c r="E134" s="25" t="s">
        <v>49</v>
      </c>
      <c r="F134" s="23" t="s">
        <v>70</v>
      </c>
      <c r="G134" s="23" t="s">
        <v>50</v>
      </c>
      <c r="H134" s="22">
        <v>0</v>
      </c>
      <c r="I134" s="26">
        <v>0</v>
      </c>
      <c r="J134" s="22">
        <v>21</v>
      </c>
      <c r="K134" s="26">
        <v>14</v>
      </c>
      <c r="L134" s="27">
        <v>5</v>
      </c>
      <c r="M134" s="23" t="s">
        <v>51</v>
      </c>
      <c r="N134" s="28">
        <v>5</v>
      </c>
      <c r="O134" s="23">
        <v>100</v>
      </c>
      <c r="P134" s="23" t="s">
        <v>52</v>
      </c>
      <c r="Q134" s="22" t="s">
        <v>53</v>
      </c>
      <c r="R134" s="29">
        <f t="shared" si="15"/>
        <v>500</v>
      </c>
      <c r="S134" s="30">
        <v>14</v>
      </c>
      <c r="T134" s="31">
        <f t="shared" si="16"/>
        <v>7000</v>
      </c>
      <c r="U134" s="22">
        <v>50</v>
      </c>
      <c r="V134" s="26">
        <v>60</v>
      </c>
      <c r="W134" s="27">
        <v>70</v>
      </c>
      <c r="X134" s="32">
        <f t="shared" si="17"/>
        <v>0.21</v>
      </c>
      <c r="Y134" s="33">
        <f t="shared" si="18"/>
        <v>1.05</v>
      </c>
      <c r="Z134" s="23">
        <v>29.4</v>
      </c>
      <c r="AA134" s="34">
        <f t="shared" si="19"/>
        <v>147</v>
      </c>
    </row>
    <row r="135" ht="100" customHeight="1" spans="1:27">
      <c r="A135" s="21" t="s">
        <v>327</v>
      </c>
      <c r="B135" s="22" t="s">
        <v>328</v>
      </c>
      <c r="C135" s="23" t="s">
        <v>328</v>
      </c>
      <c r="D135" s="24"/>
      <c r="E135" s="25" t="s">
        <v>49</v>
      </c>
      <c r="F135" s="23" t="s">
        <v>70</v>
      </c>
      <c r="G135" s="23" t="s">
        <v>62</v>
      </c>
      <c r="H135" s="22">
        <v>1</v>
      </c>
      <c r="I135" s="26">
        <v>0</v>
      </c>
      <c r="J135" s="22">
        <v>20</v>
      </c>
      <c r="K135" s="26">
        <v>10</v>
      </c>
      <c r="L135" s="27">
        <v>10</v>
      </c>
      <c r="M135" s="23" t="s">
        <v>51</v>
      </c>
      <c r="N135" s="28">
        <v>5</v>
      </c>
      <c r="O135" s="23">
        <v>100</v>
      </c>
      <c r="P135" s="23" t="s">
        <v>52</v>
      </c>
      <c r="Q135" s="22" t="s">
        <v>53</v>
      </c>
      <c r="R135" s="29">
        <f t="shared" si="15"/>
        <v>500</v>
      </c>
      <c r="S135" s="30">
        <v>13.5</v>
      </c>
      <c r="T135" s="31">
        <f t="shared" si="16"/>
        <v>6750</v>
      </c>
      <c r="U135" s="22">
        <v>50</v>
      </c>
      <c r="V135" s="26">
        <v>60</v>
      </c>
      <c r="W135" s="27">
        <v>70</v>
      </c>
      <c r="X135" s="32">
        <f t="shared" si="17"/>
        <v>0.21</v>
      </c>
      <c r="Y135" s="33">
        <f t="shared" si="18"/>
        <v>1.05</v>
      </c>
      <c r="Z135" s="23">
        <v>19.6</v>
      </c>
      <c r="AA135" s="34">
        <f t="shared" si="19"/>
        <v>98</v>
      </c>
    </row>
    <row r="136" ht="100" customHeight="1" spans="1:27">
      <c r="A136" s="21" t="s">
        <v>329</v>
      </c>
      <c r="B136" s="22" t="s">
        <v>330</v>
      </c>
      <c r="C136" s="23" t="s">
        <v>330</v>
      </c>
      <c r="D136" s="24"/>
      <c r="E136" s="25" t="s">
        <v>49</v>
      </c>
      <c r="F136" s="23" t="s">
        <v>70</v>
      </c>
      <c r="G136" s="23" t="s">
        <v>70</v>
      </c>
      <c r="H136" s="22">
        <v>1</v>
      </c>
      <c r="I136" s="26">
        <v>0</v>
      </c>
      <c r="J136" s="22">
        <v>25</v>
      </c>
      <c r="K136" s="26">
        <v>20</v>
      </c>
      <c r="L136" s="27">
        <v>10</v>
      </c>
      <c r="M136" s="23" t="s">
        <v>51</v>
      </c>
      <c r="N136" s="28">
        <v>5</v>
      </c>
      <c r="O136" s="23">
        <v>100</v>
      </c>
      <c r="P136" s="23" t="s">
        <v>52</v>
      </c>
      <c r="Q136" s="22" t="s">
        <v>53</v>
      </c>
      <c r="R136" s="29">
        <f t="shared" si="15"/>
        <v>500</v>
      </c>
      <c r="S136" s="30">
        <v>17.5</v>
      </c>
      <c r="T136" s="31">
        <f t="shared" si="16"/>
        <v>8750</v>
      </c>
      <c r="U136" s="22">
        <v>60</v>
      </c>
      <c r="V136" s="26">
        <v>80</v>
      </c>
      <c r="W136" s="27">
        <v>90</v>
      </c>
      <c r="X136" s="32">
        <f t="shared" si="17"/>
        <v>0.432</v>
      </c>
      <c r="Y136" s="33">
        <f t="shared" si="18"/>
        <v>2.16</v>
      </c>
      <c r="Z136" s="23">
        <v>39.3</v>
      </c>
      <c r="AA136" s="34">
        <f t="shared" si="19"/>
        <v>196.5</v>
      </c>
    </row>
    <row r="137" ht="100" customHeight="1" spans="1:27">
      <c r="A137" s="21" t="s">
        <v>331</v>
      </c>
      <c r="B137" s="22" t="s">
        <v>332</v>
      </c>
      <c r="C137" s="23" t="s">
        <v>332</v>
      </c>
      <c r="D137" s="24"/>
      <c r="E137" s="25" t="s">
        <v>49</v>
      </c>
      <c r="F137" s="23" t="s">
        <v>70</v>
      </c>
      <c r="G137" s="23" t="s">
        <v>50</v>
      </c>
      <c r="H137" s="22">
        <v>1</v>
      </c>
      <c r="I137" s="26">
        <v>0</v>
      </c>
      <c r="J137" s="22">
        <v>17</v>
      </c>
      <c r="K137" s="26">
        <v>9</v>
      </c>
      <c r="L137" s="27">
        <v>18</v>
      </c>
      <c r="M137" s="23" t="s">
        <v>51</v>
      </c>
      <c r="N137" s="28">
        <v>5</v>
      </c>
      <c r="O137" s="23">
        <v>100</v>
      </c>
      <c r="P137" s="23" t="s">
        <v>52</v>
      </c>
      <c r="Q137" s="22" t="s">
        <v>53</v>
      </c>
      <c r="R137" s="29">
        <f t="shared" si="15"/>
        <v>500</v>
      </c>
      <c r="S137" s="30">
        <v>13.5</v>
      </c>
      <c r="T137" s="31">
        <f t="shared" si="16"/>
        <v>6750</v>
      </c>
      <c r="U137" s="22">
        <v>60</v>
      </c>
      <c r="V137" s="26">
        <v>40</v>
      </c>
      <c r="W137" s="27">
        <v>50</v>
      </c>
      <c r="X137" s="32">
        <f t="shared" si="17"/>
        <v>0.12</v>
      </c>
      <c r="Y137" s="33">
        <f t="shared" si="18"/>
        <v>0.6</v>
      </c>
      <c r="Z137" s="23">
        <v>29.6</v>
      </c>
      <c r="AA137" s="34">
        <f t="shared" si="19"/>
        <v>148</v>
      </c>
    </row>
    <row r="138" ht="100" customHeight="1" spans="1:27">
      <c r="A138" s="21" t="s">
        <v>333</v>
      </c>
      <c r="B138" s="22" t="s">
        <v>334</v>
      </c>
      <c r="C138" s="23" t="s">
        <v>334</v>
      </c>
      <c r="D138" s="24"/>
      <c r="E138" s="25" t="s">
        <v>49</v>
      </c>
      <c r="F138" s="23" t="s">
        <v>70</v>
      </c>
      <c r="G138" s="23" t="s">
        <v>70</v>
      </c>
      <c r="H138" s="22">
        <v>1</v>
      </c>
      <c r="I138" s="26">
        <v>0</v>
      </c>
      <c r="J138" s="22">
        <v>25</v>
      </c>
      <c r="K138" s="26">
        <v>17</v>
      </c>
      <c r="L138" s="27">
        <v>10</v>
      </c>
      <c r="M138" s="23" t="s">
        <v>51</v>
      </c>
      <c r="N138" s="28">
        <v>5</v>
      </c>
      <c r="O138" s="23">
        <v>100</v>
      </c>
      <c r="P138" s="23" t="s">
        <v>52</v>
      </c>
      <c r="Q138" s="22" t="s">
        <v>53</v>
      </c>
      <c r="R138" s="29">
        <f t="shared" si="15"/>
        <v>500</v>
      </c>
      <c r="S138" s="30">
        <v>16</v>
      </c>
      <c r="T138" s="31">
        <f t="shared" si="16"/>
        <v>8000</v>
      </c>
      <c r="U138" s="22">
        <v>80</v>
      </c>
      <c r="V138" s="26">
        <v>60</v>
      </c>
      <c r="W138" s="27">
        <v>70</v>
      </c>
      <c r="X138" s="32">
        <f t="shared" si="17"/>
        <v>0.336</v>
      </c>
      <c r="Y138" s="33">
        <f t="shared" si="18"/>
        <v>1.68</v>
      </c>
      <c r="Z138" s="23">
        <v>44</v>
      </c>
      <c r="AA138" s="34">
        <f t="shared" si="19"/>
        <v>220</v>
      </c>
    </row>
    <row r="139" ht="100" customHeight="1" spans="1:27">
      <c r="A139" s="21" t="s">
        <v>335</v>
      </c>
      <c r="B139" s="22" t="s">
        <v>336</v>
      </c>
      <c r="C139" s="23" t="s">
        <v>336</v>
      </c>
      <c r="D139" s="24"/>
      <c r="E139" s="25" t="s">
        <v>49</v>
      </c>
      <c r="F139" s="23" t="s">
        <v>50</v>
      </c>
      <c r="G139" s="23" t="s">
        <v>50</v>
      </c>
      <c r="H139" s="22">
        <v>1</v>
      </c>
      <c r="I139" s="26">
        <v>0</v>
      </c>
      <c r="J139" s="22">
        <v>23</v>
      </c>
      <c r="K139" s="26">
        <v>12</v>
      </c>
      <c r="L139" s="27">
        <v>5</v>
      </c>
      <c r="M139" s="23" t="s">
        <v>51</v>
      </c>
      <c r="N139" s="28">
        <v>5</v>
      </c>
      <c r="O139" s="23">
        <v>100</v>
      </c>
      <c r="P139" s="23" t="s">
        <v>52</v>
      </c>
      <c r="Q139" s="22" t="s">
        <v>53</v>
      </c>
      <c r="R139" s="29">
        <f t="shared" si="15"/>
        <v>500</v>
      </c>
      <c r="S139" s="30">
        <v>9.5</v>
      </c>
      <c r="T139" s="31">
        <f t="shared" si="16"/>
        <v>4750</v>
      </c>
      <c r="U139" s="22">
        <v>49</v>
      </c>
      <c r="V139" s="26">
        <v>30</v>
      </c>
      <c r="W139" s="27">
        <v>30</v>
      </c>
      <c r="X139" s="32">
        <f t="shared" si="17"/>
        <v>0.0441</v>
      </c>
      <c r="Y139" s="33">
        <f t="shared" si="18"/>
        <v>0.2205</v>
      </c>
      <c r="Z139" s="23">
        <v>7.9</v>
      </c>
      <c r="AA139" s="34">
        <f t="shared" si="19"/>
        <v>39.5</v>
      </c>
    </row>
    <row r="140" ht="100" customHeight="1" spans="1:27">
      <c r="A140" s="21" t="s">
        <v>337</v>
      </c>
      <c r="B140" s="22" t="s">
        <v>338</v>
      </c>
      <c r="C140" s="23" t="s">
        <v>338</v>
      </c>
      <c r="D140" s="24"/>
      <c r="E140" s="25" t="s">
        <v>49</v>
      </c>
      <c r="F140" s="23" t="s">
        <v>70</v>
      </c>
      <c r="G140" s="23" t="s">
        <v>50</v>
      </c>
      <c r="H140" s="22">
        <v>0</v>
      </c>
      <c r="I140" s="26">
        <v>0</v>
      </c>
      <c r="J140" s="22">
        <v>23</v>
      </c>
      <c r="K140" s="26">
        <v>16</v>
      </c>
      <c r="L140" s="27">
        <v>7.5</v>
      </c>
      <c r="M140" s="23" t="s">
        <v>51</v>
      </c>
      <c r="N140" s="28">
        <v>5</v>
      </c>
      <c r="O140" s="23">
        <v>100</v>
      </c>
      <c r="P140" s="23" t="s">
        <v>52</v>
      </c>
      <c r="Q140" s="22" t="s">
        <v>53</v>
      </c>
      <c r="R140" s="29">
        <f t="shared" si="15"/>
        <v>500</v>
      </c>
      <c r="S140" s="30">
        <v>16</v>
      </c>
      <c r="T140" s="31">
        <f t="shared" si="16"/>
        <v>8000</v>
      </c>
      <c r="U140" s="22">
        <v>70</v>
      </c>
      <c r="V140" s="26">
        <v>50</v>
      </c>
      <c r="W140" s="27">
        <v>78</v>
      </c>
      <c r="X140" s="32">
        <f t="shared" si="17"/>
        <v>0.273</v>
      </c>
      <c r="Y140" s="33">
        <f t="shared" si="18"/>
        <v>1.365</v>
      </c>
      <c r="Z140" s="23">
        <v>46.5</v>
      </c>
      <c r="AA140" s="34">
        <f t="shared" si="19"/>
        <v>232.5</v>
      </c>
    </row>
    <row r="141" ht="100" customHeight="1" spans="1:27">
      <c r="A141" s="21" t="s">
        <v>339</v>
      </c>
      <c r="B141" s="22" t="s">
        <v>340</v>
      </c>
      <c r="C141" s="23" t="s">
        <v>340</v>
      </c>
      <c r="D141" s="24"/>
      <c r="E141" s="25" t="s">
        <v>49</v>
      </c>
      <c r="F141" s="23" t="s">
        <v>70</v>
      </c>
      <c r="G141" s="23" t="s">
        <v>70</v>
      </c>
      <c r="H141" s="22">
        <v>1</v>
      </c>
      <c r="I141" s="26">
        <v>0</v>
      </c>
      <c r="J141" s="22">
        <v>25</v>
      </c>
      <c r="K141" s="26">
        <v>20</v>
      </c>
      <c r="L141" s="27">
        <v>11</v>
      </c>
      <c r="M141" s="23" t="s">
        <v>51</v>
      </c>
      <c r="N141" s="28">
        <v>5</v>
      </c>
      <c r="O141" s="23">
        <v>100</v>
      </c>
      <c r="P141" s="23" t="s">
        <v>52</v>
      </c>
      <c r="Q141" s="22" t="s">
        <v>53</v>
      </c>
      <c r="R141" s="29">
        <f t="shared" si="15"/>
        <v>500</v>
      </c>
      <c r="S141" s="30">
        <v>17.5</v>
      </c>
      <c r="T141" s="31">
        <f t="shared" si="16"/>
        <v>8750</v>
      </c>
      <c r="U141" s="22">
        <v>60</v>
      </c>
      <c r="V141" s="26">
        <v>80</v>
      </c>
      <c r="W141" s="27">
        <v>90</v>
      </c>
      <c r="X141" s="32">
        <f t="shared" si="17"/>
        <v>0.432</v>
      </c>
      <c r="Y141" s="33">
        <f t="shared" si="18"/>
        <v>2.16</v>
      </c>
      <c r="Z141" s="23">
        <v>44.5</v>
      </c>
      <c r="AA141" s="34">
        <f t="shared" si="19"/>
        <v>222.5</v>
      </c>
    </row>
    <row r="142" ht="100" customHeight="1" spans="1:27">
      <c r="A142" s="21" t="s">
        <v>341</v>
      </c>
      <c r="B142" s="22" t="s">
        <v>342</v>
      </c>
      <c r="C142" s="23" t="s">
        <v>342</v>
      </c>
      <c r="D142" s="24"/>
      <c r="E142" s="25" t="s">
        <v>49</v>
      </c>
      <c r="F142" s="23" t="s">
        <v>70</v>
      </c>
      <c r="G142" s="23" t="s">
        <v>70</v>
      </c>
      <c r="H142" s="22">
        <v>1</v>
      </c>
      <c r="I142" s="26">
        <v>0</v>
      </c>
      <c r="J142" s="22">
        <v>19</v>
      </c>
      <c r="K142" s="26">
        <v>6.5</v>
      </c>
      <c r="L142" s="27">
        <v>12</v>
      </c>
      <c r="M142" s="23" t="s">
        <v>51</v>
      </c>
      <c r="N142" s="28">
        <v>5</v>
      </c>
      <c r="O142" s="23">
        <v>100</v>
      </c>
      <c r="P142" s="23" t="s">
        <v>52</v>
      </c>
      <c r="Q142" s="22" t="s">
        <v>53</v>
      </c>
      <c r="R142" s="29">
        <f t="shared" si="15"/>
        <v>500</v>
      </c>
      <c r="S142" s="30">
        <v>14</v>
      </c>
      <c r="T142" s="31">
        <f t="shared" si="16"/>
        <v>7000</v>
      </c>
      <c r="U142" s="22">
        <v>70</v>
      </c>
      <c r="V142" s="26">
        <v>50</v>
      </c>
      <c r="W142" s="27">
        <v>60</v>
      </c>
      <c r="X142" s="32">
        <f t="shared" si="17"/>
        <v>0.21</v>
      </c>
      <c r="Y142" s="33">
        <f t="shared" si="18"/>
        <v>1.05</v>
      </c>
      <c r="Z142" s="23">
        <v>19.6</v>
      </c>
      <c r="AA142" s="34">
        <f t="shared" si="19"/>
        <v>98</v>
      </c>
    </row>
    <row r="143" ht="100" customHeight="1" spans="1:27">
      <c r="A143" s="21" t="s">
        <v>343</v>
      </c>
      <c r="B143" s="22" t="s">
        <v>344</v>
      </c>
      <c r="C143" s="23" t="s">
        <v>344</v>
      </c>
      <c r="D143" s="24"/>
      <c r="E143" s="25" t="s">
        <v>49</v>
      </c>
      <c r="F143" s="23" t="s">
        <v>70</v>
      </c>
      <c r="G143" s="23" t="s">
        <v>70</v>
      </c>
      <c r="H143" s="22">
        <v>1</v>
      </c>
      <c r="I143" s="26">
        <v>0</v>
      </c>
      <c r="J143" s="22">
        <v>25</v>
      </c>
      <c r="K143" s="26">
        <v>15</v>
      </c>
      <c r="L143" s="27">
        <v>5</v>
      </c>
      <c r="M143" s="23" t="s">
        <v>51</v>
      </c>
      <c r="N143" s="28">
        <v>5</v>
      </c>
      <c r="O143" s="23">
        <v>100</v>
      </c>
      <c r="P143" s="23" t="s">
        <v>52</v>
      </c>
      <c r="Q143" s="22" t="s">
        <v>53</v>
      </c>
      <c r="R143" s="29">
        <f t="shared" si="15"/>
        <v>500</v>
      </c>
      <c r="S143" s="30">
        <v>14</v>
      </c>
      <c r="T143" s="31">
        <f t="shared" si="16"/>
        <v>7000</v>
      </c>
      <c r="U143" s="22">
        <v>70</v>
      </c>
      <c r="V143" s="26">
        <v>50</v>
      </c>
      <c r="W143" s="27">
        <v>55</v>
      </c>
      <c r="X143" s="32">
        <f t="shared" si="17"/>
        <v>0.1925</v>
      </c>
      <c r="Y143" s="33">
        <f t="shared" si="18"/>
        <v>0.9625</v>
      </c>
      <c r="Z143" s="23">
        <v>28</v>
      </c>
      <c r="AA143" s="34">
        <f t="shared" si="19"/>
        <v>140</v>
      </c>
    </row>
    <row r="144" ht="100" customHeight="1" spans="1:27">
      <c r="A144" s="21" t="s">
        <v>345</v>
      </c>
      <c r="B144" s="22" t="s">
        <v>346</v>
      </c>
      <c r="C144" s="23" t="s">
        <v>346</v>
      </c>
      <c r="D144" s="24"/>
      <c r="E144" s="25" t="s">
        <v>49</v>
      </c>
      <c r="F144" s="23" t="s">
        <v>70</v>
      </c>
      <c r="G144" s="23" t="s">
        <v>70</v>
      </c>
      <c r="H144" s="22">
        <v>0</v>
      </c>
      <c r="I144" s="26">
        <v>0</v>
      </c>
      <c r="J144" s="22">
        <v>24</v>
      </c>
      <c r="K144" s="26">
        <v>13</v>
      </c>
      <c r="L144" s="27">
        <v>7</v>
      </c>
      <c r="M144" s="23" t="s">
        <v>51</v>
      </c>
      <c r="N144" s="28">
        <v>5</v>
      </c>
      <c r="O144" s="23">
        <v>100</v>
      </c>
      <c r="P144" s="23" t="s">
        <v>52</v>
      </c>
      <c r="Q144" s="22" t="s">
        <v>53</v>
      </c>
      <c r="R144" s="29">
        <f>N144*O144</f>
        <v>500</v>
      </c>
      <c r="S144" s="30">
        <v>12.5</v>
      </c>
      <c r="T144" s="31">
        <f>R144*S144</f>
        <v>6250</v>
      </c>
      <c r="U144" s="22">
        <v>70</v>
      </c>
      <c r="V144" s="26">
        <v>50</v>
      </c>
      <c r="W144" s="27">
        <v>60</v>
      </c>
      <c r="X144" s="32">
        <f>(U144*V144*W144)/1000000</f>
        <v>0.21</v>
      </c>
      <c r="Y144" s="33">
        <f>X144*N144</f>
        <v>1.05</v>
      </c>
      <c r="Z144" s="23">
        <v>35.5</v>
      </c>
      <c r="AA144" s="34">
        <f>Z144*N144</f>
        <v>177.5</v>
      </c>
    </row>
    <row r="145" ht="100" customHeight="1" spans="1:27">
      <c r="A145" s="21"/>
      <c r="B145" s="22" t="s">
        <v>347</v>
      </c>
      <c r="C145" s="23"/>
      <c r="D145" s="47"/>
      <c r="E145" s="25" t="s">
        <v>348</v>
      </c>
      <c r="F145" s="23"/>
      <c r="G145" s="23"/>
      <c r="H145" s="22"/>
      <c r="I145" s="26"/>
      <c r="J145" s="22"/>
      <c r="K145" s="26"/>
      <c r="L145" s="27"/>
      <c r="M145" s="23"/>
      <c r="N145" s="28">
        <v>1</v>
      </c>
      <c r="O145" s="23"/>
      <c r="P145" s="23" t="s">
        <v>52</v>
      </c>
      <c r="Q145" s="22"/>
      <c r="R145" s="29">
        <f>N145*O145</f>
        <v>0</v>
      </c>
      <c r="S145" s="30"/>
      <c r="T145" s="31">
        <f>R145*S145</f>
        <v>0</v>
      </c>
      <c r="U145" s="22">
        <v>88</v>
      </c>
      <c r="V145" s="26">
        <v>42</v>
      </c>
      <c r="W145" s="27">
        <v>63</v>
      </c>
      <c r="X145" s="32">
        <f>(U145*V145*W145)/1000000</f>
        <v>0.232848</v>
      </c>
      <c r="Y145" s="33">
        <f>X145*N145</f>
        <v>0.232848</v>
      </c>
      <c r="Z145" s="23">
        <v>30.4</v>
      </c>
      <c r="AA145" s="34">
        <f>Z145*N145</f>
        <v>30.4</v>
      </c>
    </row>
    <row r="146" ht="100" customHeight="1" spans="1:27">
      <c r="A146" s="21"/>
      <c r="B146" s="22" t="s">
        <v>349</v>
      </c>
      <c r="C146" s="23"/>
      <c r="D146" s="47"/>
      <c r="E146" s="25" t="s">
        <v>350</v>
      </c>
      <c r="F146" s="23"/>
      <c r="G146" s="23"/>
      <c r="H146" s="22"/>
      <c r="I146" s="26"/>
      <c r="J146" s="22"/>
      <c r="K146" s="26"/>
      <c r="L146" s="27"/>
      <c r="M146" s="23"/>
      <c r="N146" s="28">
        <v>1</v>
      </c>
      <c r="O146" s="23"/>
      <c r="P146" s="23" t="s">
        <v>52</v>
      </c>
      <c r="Q146" s="22"/>
      <c r="R146" s="29">
        <f>N146*O146</f>
        <v>0</v>
      </c>
      <c r="S146" s="30"/>
      <c r="T146" s="31">
        <f>R146*S146</f>
        <v>0</v>
      </c>
      <c r="U146" s="22">
        <v>88</v>
      </c>
      <c r="V146" s="26">
        <v>42</v>
      </c>
      <c r="W146" s="27">
        <v>63</v>
      </c>
      <c r="X146" s="32">
        <f>(U146*V146*W146)/1000000</f>
        <v>0.232848</v>
      </c>
      <c r="Y146" s="33">
        <f>X146*N146</f>
        <v>0.232848</v>
      </c>
      <c r="Z146" s="23">
        <v>30.4</v>
      </c>
      <c r="AA146" s="34">
        <f>Z146*N146</f>
        <v>30.4</v>
      </c>
    </row>
    <row r="147" ht="33" customHeight="1" spans="1:27">
      <c r="A147" s="21"/>
      <c r="B147" s="26"/>
      <c r="C147" s="23"/>
      <c r="D147" s="48"/>
      <c r="E147" s="49"/>
      <c r="F147" s="23"/>
      <c r="G147" s="23"/>
      <c r="H147" s="26"/>
      <c r="I147" s="27"/>
      <c r="J147" s="26"/>
      <c r="K147" s="27"/>
      <c r="L147" s="50"/>
      <c r="M147" s="23"/>
      <c r="N147" s="51">
        <f>SUM(N4:N146)</f>
        <v>526</v>
      </c>
      <c r="O147" s="52"/>
      <c r="P147" s="52"/>
      <c r="Q147" s="53"/>
      <c r="R147" s="54"/>
      <c r="S147" s="55"/>
      <c r="T147" s="56">
        <f>SUM(T4:T146)</f>
        <v>758704</v>
      </c>
      <c r="U147" s="53"/>
      <c r="V147" s="57"/>
      <c r="W147" s="58"/>
      <c r="X147" s="59"/>
      <c r="Y147" s="60">
        <f>SUM(Y4:Y146)</f>
        <v>77.767479</v>
      </c>
      <c r="Z147" s="52"/>
      <c r="AA147" s="61">
        <f>SUM(AA4:AA146)</f>
        <v>17476.05</v>
      </c>
    </row>
    <row r="148" ht="33" customHeight="1" spans="1:27">
      <c r="N148" s="62" t="s">
        <v>351</v>
      </c>
      <c r="O148" s="62"/>
      <c r="P148" s="62"/>
      <c r="Q148" s="62"/>
      <c r="R148" s="62"/>
      <c r="S148" s="62"/>
      <c r="T148" s="63" t="s">
        <v>352</v>
      </c>
      <c r="U148" s="64">
        <v>57800</v>
      </c>
      <c r="V148" s="64"/>
      <c r="W148" s="64"/>
      <c r="X148" s="64"/>
      <c r="Y148" s="64"/>
      <c r="Z148" s="64"/>
      <c r="AA148" s="64"/>
    </row>
    <row r="149" ht="33" customHeight="1" spans="1:27">
      <c r="N149" s="65"/>
      <c r="O149" s="65"/>
      <c r="P149" s="65"/>
      <c r="Q149" s="65"/>
      <c r="R149" s="65"/>
      <c r="S149" s="65"/>
      <c r="T149" s="66" t="s">
        <v>353</v>
      </c>
      <c r="U149" s="67">
        <v>11479</v>
      </c>
      <c r="V149" s="67"/>
      <c r="W149" s="67"/>
      <c r="X149" s="67"/>
      <c r="Y149" s="67"/>
      <c r="Z149" s="67"/>
      <c r="AA149" s="67"/>
    </row>
    <row r="150" ht="33" customHeight="1" spans="1:27">
      <c r="N150" s="65"/>
      <c r="O150" s="65"/>
      <c r="P150" s="65"/>
      <c r="Q150" s="65"/>
      <c r="R150" s="65"/>
      <c r="S150" s="65"/>
      <c r="T150" s="66" t="s">
        <v>354</v>
      </c>
      <c r="U150" s="67">
        <v>45522.24</v>
      </c>
      <c r="V150" s="67"/>
      <c r="W150" s="67"/>
      <c r="X150" s="67"/>
      <c r="Y150" s="67"/>
      <c r="Z150" s="67"/>
      <c r="AA150" s="67"/>
    </row>
    <row r="151" ht="33" customHeight="1" spans="1:27">
      <c r="N151" s="68" t="s">
        <v>355</v>
      </c>
      <c r="O151" s="68"/>
      <c r="P151" s="68"/>
      <c r="Q151" s="68"/>
      <c r="R151" s="68"/>
      <c r="S151" s="68"/>
      <c r="T151" s="68"/>
      <c r="U151" s="69">
        <f>T147+U148+U149+U150</f>
        <v>873505.24</v>
      </c>
      <c r="V151" s="69"/>
      <c r="W151" s="69"/>
      <c r="X151" s="69"/>
      <c r="Y151" s="69"/>
      <c r="Z151" s="69"/>
      <c r="AA151" s="69"/>
    </row>
  </sheetData>
  <mergeCells count="10">
    <mergeCell ref="A1:AA1"/>
    <mergeCell ref="H2:I2"/>
    <mergeCell ref="J2:L2"/>
    <mergeCell ref="U2:W2"/>
    <mergeCell ref="U148:AA148"/>
    <mergeCell ref="U149:AA149"/>
    <mergeCell ref="U150:AA150"/>
    <mergeCell ref="N151:T151"/>
    <mergeCell ref="U151:AA151"/>
    <mergeCell ref="N148:S150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九</cp:lastModifiedBy>
  <dcterms:created xsi:type="dcterms:W3CDTF">2025-05-15T01:11:00Z</dcterms:created>
  <dcterms:modified xsi:type="dcterms:W3CDTF">2026-08-01T06:51:39Z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2C422B8A85EF4F21BDFDD154A0ECDCA3_13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